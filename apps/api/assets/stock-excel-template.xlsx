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ec91c577be67776b/Masaüstü/"/>
    </mc:Choice>
  </mc:AlternateContent>
  <xr:revisionPtr revIDLastSave="10" documentId="8_{E49FEAC3-AF75-4188-A8C3-50881D8CCE89}" xr6:coauthVersionLast="47" xr6:coauthVersionMax="47" xr10:uidLastSave="{8B0D21C9-C26E-4471-8765-AB76278A9678}"/>
  <bookViews>
    <workbookView xWindow="-108" yWindow="-108" windowWidth="23256" windowHeight="12456" xr2:uid="{00000000-000D-0000-FFFF-FFFF00000000}"/>
  </bookViews>
  <sheets>
    <sheet name="Meşrubatlar" sheetId="1" r:id="rId1"/>
    <sheet name="Sütler" sheetId="2" r:id="rId2"/>
    <sheet name="Bardaklar" sheetId="3" r:id="rId3"/>
    <sheet name="Kapaklar" sheetId="4" r:id="rId4"/>
    <sheet name="Servis" sheetId="5" r:id="rId5"/>
    <sheet name="Sandviç" sheetId="6" r:id="rId6"/>
    <sheet name="Tatlılar" sheetId="7" r:id="rId7"/>
    <sheet name="Kasa Önü" sheetId="8" r:id="rId8"/>
    <sheet name="Şuruplar" sheetId="9" r:id="rId9"/>
    <sheet name="Soslar" sheetId="10" r:id="rId10"/>
    <sheet name="Toz Ürünler" sheetId="11" r:id="rId11"/>
    <sheet name="Püreler" sheetId="12" r:id="rId12"/>
    <sheet name="Temizlik Ürünleri" sheetId="13" r:id="rId13"/>
    <sheet name="Ürün Kodları" sheetId="14" r:id="rId1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5" i="9" l="1"/>
  <c r="B214" i="9"/>
  <c r="A214" i="9"/>
  <c r="C47" i="10"/>
  <c r="B46" i="10"/>
  <c r="A46" i="10"/>
  <c r="C95" i="11"/>
  <c r="B94" i="11"/>
  <c r="A94" i="11"/>
  <c r="C87" i="11"/>
  <c r="B86" i="11"/>
  <c r="A86" i="11"/>
  <c r="C71" i="5"/>
  <c r="B70" i="5"/>
  <c r="A70" i="5"/>
  <c r="C63" i="5"/>
  <c r="B62" i="5"/>
  <c r="A62" i="5"/>
  <c r="C23" i="13"/>
  <c r="B22" i="13"/>
  <c r="A22" i="13"/>
  <c r="C15" i="13"/>
  <c r="B14" i="13"/>
  <c r="A14" i="13"/>
  <c r="C7" i="13"/>
  <c r="B6" i="13"/>
  <c r="A6" i="13"/>
  <c r="C103" i="7"/>
  <c r="B102" i="7"/>
  <c r="A102" i="7"/>
  <c r="C95" i="7"/>
  <c r="B94" i="7"/>
  <c r="A94" i="7"/>
  <c r="C87" i="7"/>
  <c r="B86" i="7"/>
  <c r="A86" i="7"/>
  <c r="C79" i="7"/>
  <c r="B78" i="7"/>
  <c r="A78" i="7"/>
  <c r="C71" i="7"/>
  <c r="B70" i="7"/>
  <c r="A70" i="7"/>
  <c r="C55" i="6"/>
  <c r="B54" i="6"/>
  <c r="A54" i="6"/>
  <c r="C47" i="6"/>
  <c r="B46" i="6"/>
  <c r="A46" i="6"/>
  <c r="C39" i="6"/>
  <c r="B38" i="6"/>
  <c r="A38" i="6"/>
  <c r="C15" i="5"/>
  <c r="C39" i="3"/>
  <c r="B38" i="3"/>
  <c r="A38" i="3"/>
  <c r="C119" i="1"/>
  <c r="B118" i="1"/>
  <c r="A118" i="1"/>
  <c r="C111" i="1"/>
  <c r="B110" i="1"/>
  <c r="A110" i="1"/>
  <c r="B6" i="1"/>
  <c r="C63" i="12"/>
  <c r="B62" i="12"/>
  <c r="A62" i="12"/>
  <c r="C55" i="12"/>
  <c r="B54" i="12"/>
  <c r="A54" i="12"/>
  <c r="C47" i="12"/>
  <c r="B46" i="12"/>
  <c r="A46" i="12"/>
  <c r="C39" i="12"/>
  <c r="B38" i="12"/>
  <c r="A38" i="12"/>
  <c r="C31" i="12"/>
  <c r="B30" i="12"/>
  <c r="A30" i="12"/>
  <c r="C23" i="12"/>
  <c r="B22" i="12"/>
  <c r="A22" i="12"/>
  <c r="C15" i="12"/>
  <c r="B14" i="12"/>
  <c r="A14" i="12"/>
  <c r="C7" i="12"/>
  <c r="B6" i="12"/>
  <c r="A6" i="12"/>
  <c r="C79" i="11"/>
  <c r="B78" i="11"/>
  <c r="A78" i="11"/>
  <c r="C71" i="11"/>
  <c r="B70" i="11"/>
  <c r="A70" i="11"/>
  <c r="C63" i="11"/>
  <c r="B62" i="11"/>
  <c r="A62" i="11"/>
  <c r="C55" i="11"/>
  <c r="B54" i="11"/>
  <c r="A54" i="11"/>
  <c r="C47" i="11"/>
  <c r="B46" i="11"/>
  <c r="A46" i="11"/>
  <c r="C39" i="11"/>
  <c r="B38" i="11"/>
  <c r="A38" i="11"/>
  <c r="C31" i="11"/>
  <c r="B30" i="11"/>
  <c r="A30" i="11"/>
  <c r="C23" i="11"/>
  <c r="B22" i="11"/>
  <c r="A22" i="11"/>
  <c r="C15" i="11"/>
  <c r="B14" i="11"/>
  <c r="A14" i="11"/>
  <c r="C7" i="11"/>
  <c r="B6" i="11"/>
  <c r="A6" i="11"/>
  <c r="C39" i="10"/>
  <c r="B38" i="10"/>
  <c r="A38" i="10"/>
  <c r="C31" i="10"/>
  <c r="B30" i="10"/>
  <c r="A30" i="10"/>
  <c r="C23" i="10"/>
  <c r="B22" i="10"/>
  <c r="A22" i="10"/>
  <c r="C15" i="10"/>
  <c r="B14" i="10"/>
  <c r="A14" i="10"/>
  <c r="C7" i="10"/>
  <c r="B6" i="10"/>
  <c r="A6" i="10"/>
  <c r="C207" i="9"/>
  <c r="B206" i="9"/>
  <c r="A206" i="9"/>
  <c r="C199" i="9"/>
  <c r="B198" i="9"/>
  <c r="A198" i="9"/>
  <c r="C191" i="9"/>
  <c r="B190" i="9"/>
  <c r="A190" i="9"/>
  <c r="C183" i="9"/>
  <c r="B182" i="9"/>
  <c r="A182" i="9"/>
  <c r="C175" i="9"/>
  <c r="B174" i="9"/>
  <c r="A174" i="9"/>
  <c r="C167" i="9"/>
  <c r="B166" i="9"/>
  <c r="A166" i="9"/>
  <c r="C159" i="9"/>
  <c r="B158" i="9"/>
  <c r="A158" i="9"/>
  <c r="C151" i="9"/>
  <c r="B150" i="9"/>
  <c r="A150" i="9"/>
  <c r="C143" i="9"/>
  <c r="B142" i="9"/>
  <c r="A142" i="9"/>
  <c r="C135" i="9"/>
  <c r="B134" i="9"/>
  <c r="A134" i="9"/>
  <c r="C127" i="9"/>
  <c r="B126" i="9"/>
  <c r="A126" i="9"/>
  <c r="C119" i="9"/>
  <c r="B118" i="9"/>
  <c r="A118" i="9"/>
  <c r="C111" i="9"/>
  <c r="B110" i="9"/>
  <c r="A110" i="9"/>
  <c r="C103" i="9"/>
  <c r="B102" i="9"/>
  <c r="A102" i="9"/>
  <c r="C95" i="9"/>
  <c r="B94" i="9"/>
  <c r="A94" i="9"/>
  <c r="C87" i="9"/>
  <c r="B86" i="9"/>
  <c r="A86" i="9"/>
  <c r="C79" i="9"/>
  <c r="B78" i="9"/>
  <c r="A78" i="9"/>
  <c r="C71" i="9"/>
  <c r="B70" i="9"/>
  <c r="A70" i="9"/>
  <c r="C63" i="9"/>
  <c r="B62" i="9"/>
  <c r="A62" i="9"/>
  <c r="C55" i="9"/>
  <c r="B54" i="9"/>
  <c r="A54" i="9"/>
  <c r="C47" i="9"/>
  <c r="B46" i="9"/>
  <c r="A46" i="9"/>
  <c r="C39" i="9"/>
  <c r="B38" i="9"/>
  <c r="A38" i="9"/>
  <c r="C31" i="9"/>
  <c r="B30" i="9"/>
  <c r="A30" i="9"/>
  <c r="C23" i="9"/>
  <c r="B22" i="9"/>
  <c r="A22" i="9"/>
  <c r="C15" i="9"/>
  <c r="B14" i="9"/>
  <c r="A14" i="9"/>
  <c r="C7" i="9"/>
  <c r="B6" i="9"/>
  <c r="A6" i="9"/>
  <c r="B70" i="8"/>
  <c r="A70" i="8"/>
  <c r="B62" i="8"/>
  <c r="A62" i="8"/>
  <c r="B54" i="8"/>
  <c r="A54" i="8"/>
  <c r="B46" i="8"/>
  <c r="A46" i="8"/>
  <c r="B38" i="8"/>
  <c r="A38" i="8"/>
  <c r="B30" i="8"/>
  <c r="A30" i="8"/>
  <c r="C15" i="8"/>
  <c r="B14" i="8"/>
  <c r="A14" i="8"/>
  <c r="C7" i="8"/>
  <c r="B6" i="8"/>
  <c r="A6" i="8"/>
  <c r="C63" i="7"/>
  <c r="B62" i="7"/>
  <c r="A62" i="7"/>
  <c r="C55" i="7"/>
  <c r="B54" i="7"/>
  <c r="A54" i="7"/>
  <c r="C47" i="7"/>
  <c r="B46" i="7"/>
  <c r="A46" i="7"/>
  <c r="C39" i="7"/>
  <c r="B38" i="7"/>
  <c r="A38" i="7"/>
  <c r="C31" i="7"/>
  <c r="B30" i="7"/>
  <c r="A30" i="7"/>
  <c r="C23" i="7"/>
  <c r="B22" i="7"/>
  <c r="A22" i="7"/>
  <c r="C15" i="7"/>
  <c r="B14" i="7"/>
  <c r="A14" i="7"/>
  <c r="C7" i="7"/>
  <c r="B6" i="7"/>
  <c r="A6" i="7"/>
  <c r="C31" i="6"/>
  <c r="B30" i="6"/>
  <c r="A30" i="6"/>
  <c r="C23" i="6"/>
  <c r="B22" i="6"/>
  <c r="A22" i="6"/>
  <c r="C15" i="6"/>
  <c r="B14" i="6"/>
  <c r="A14" i="6"/>
  <c r="C7" i="6"/>
  <c r="B6" i="6"/>
  <c r="A6" i="6"/>
  <c r="C55" i="5"/>
  <c r="B54" i="5"/>
  <c r="A54" i="5"/>
  <c r="C47" i="5"/>
  <c r="B46" i="5"/>
  <c r="A46" i="5"/>
  <c r="C39" i="5"/>
  <c r="B38" i="5"/>
  <c r="A38" i="5"/>
  <c r="C31" i="5"/>
  <c r="B30" i="5"/>
  <c r="A30" i="5"/>
  <c r="C23" i="5"/>
  <c r="B22" i="5"/>
  <c r="A22" i="5"/>
  <c r="B14" i="5"/>
  <c r="A14" i="5"/>
  <c r="C7" i="5"/>
  <c r="B6" i="5"/>
  <c r="A6" i="5"/>
  <c r="C31" i="4"/>
  <c r="B30" i="4"/>
  <c r="A30" i="4"/>
  <c r="C23" i="4"/>
  <c r="B22" i="4"/>
  <c r="A22" i="4"/>
  <c r="C15" i="4"/>
  <c r="B14" i="4"/>
  <c r="A14" i="4"/>
  <c r="C7" i="4"/>
  <c r="B6" i="4"/>
  <c r="A6" i="4"/>
  <c r="C31" i="3"/>
  <c r="B30" i="3"/>
  <c r="A30" i="3"/>
  <c r="C23" i="3"/>
  <c r="B22" i="3"/>
  <c r="A22" i="3"/>
  <c r="C15" i="3"/>
  <c r="B14" i="3"/>
  <c r="A14" i="3"/>
  <c r="C7" i="3"/>
  <c r="B6" i="3"/>
  <c r="A6" i="3"/>
  <c r="C31" i="2"/>
  <c r="B30" i="2"/>
  <c r="A30" i="2"/>
  <c r="C23" i="2"/>
  <c r="B22" i="2"/>
  <c r="A22" i="2"/>
  <c r="C15" i="2"/>
  <c r="B14" i="2"/>
  <c r="A14" i="2"/>
  <c r="C7" i="2"/>
  <c r="B6" i="2"/>
  <c r="A6" i="2"/>
  <c r="C103" i="1"/>
  <c r="B102" i="1"/>
  <c r="A102" i="1"/>
  <c r="C95" i="1"/>
  <c r="B94" i="1"/>
  <c r="A94" i="1"/>
  <c r="C87" i="1"/>
  <c r="B86" i="1"/>
  <c r="A86" i="1"/>
  <c r="C79" i="1"/>
  <c r="B78" i="1"/>
  <c r="A78" i="1"/>
  <c r="C71" i="1"/>
  <c r="B70" i="1"/>
  <c r="A70" i="1"/>
  <c r="C63" i="1"/>
  <c r="B62" i="1"/>
  <c r="A62" i="1"/>
  <c r="C55" i="1"/>
  <c r="B54" i="1"/>
  <c r="A54" i="1"/>
  <c r="C47" i="1"/>
  <c r="B46" i="1"/>
  <c r="A46" i="1"/>
  <c r="C39" i="1"/>
  <c r="B38" i="1"/>
  <c r="A38" i="1"/>
  <c r="C31" i="1"/>
  <c r="B30" i="1"/>
  <c r="A30" i="1"/>
  <c r="C23" i="1"/>
  <c r="B22" i="1"/>
  <c r="A22" i="1"/>
  <c r="C15" i="1"/>
  <c r="B14" i="1"/>
  <c r="A14" i="1"/>
  <c r="C7" i="1"/>
  <c r="A6" i="1"/>
</calcChain>
</file>

<file path=xl/sharedStrings.xml><?xml version="1.0" encoding="utf-8"?>
<sst xmlns="http://schemas.openxmlformats.org/spreadsheetml/2006/main" count="1571" uniqueCount="296">
  <si>
    <t>Su</t>
  </si>
  <si>
    <t>toplu birim</t>
  </si>
  <si>
    <t>temel birim</t>
  </si>
  <si>
    <t>birim çarpanı</t>
  </si>
  <si>
    <t>koli</t>
  </si>
  <si>
    <t>adet</t>
  </si>
  <si>
    <t>kritik eşik</t>
  </si>
  <si>
    <t>sipariş eşiği</t>
  </si>
  <si>
    <t>hedef stok</t>
  </si>
  <si>
    <t>toplam</t>
  </si>
  <si>
    <t>Bardak su</t>
  </si>
  <si>
    <t>Soda</t>
  </si>
  <si>
    <t>Zencefil B.oğlu</t>
  </si>
  <si>
    <t>Klasik B.oğlu</t>
  </si>
  <si>
    <t>Limonlu</t>
  </si>
  <si>
    <t>Reyhan</t>
  </si>
  <si>
    <t>Turuncu</t>
  </si>
  <si>
    <t>Red Bull</t>
  </si>
  <si>
    <t>Şekersiz Red Bull</t>
  </si>
  <si>
    <t>Şeftalili Red Bull</t>
  </si>
  <si>
    <t>Limonlu Red Bull</t>
  </si>
  <si>
    <t>Hindistan cevizli Red Bull</t>
  </si>
  <si>
    <t>Karpuzlu Red Bull</t>
  </si>
  <si>
    <t>yaban mersinli Red Bull</t>
  </si>
  <si>
    <t>Barista süt</t>
  </si>
  <si>
    <t>Laktozsuz süt</t>
  </si>
  <si>
    <t>Yulaf sütü</t>
  </si>
  <si>
    <t>Badem sütü</t>
  </si>
  <si>
    <t>14 oz soğuk bardak</t>
  </si>
  <si>
    <t>16 oz soğuk bardak</t>
  </si>
  <si>
    <t>20 oz soğuk bardak</t>
  </si>
  <si>
    <t>14 oz sıcak bardak</t>
  </si>
  <si>
    <t>16 oz sıcak bardak</t>
  </si>
  <si>
    <t>Sıcak kapak</t>
  </si>
  <si>
    <t>paket</t>
  </si>
  <si>
    <t>Bombe kapak</t>
  </si>
  <si>
    <t>Emzik kapak</t>
  </si>
  <si>
    <t>Düz pipetli kapak</t>
  </si>
  <si>
    <t>Pipet</t>
  </si>
  <si>
    <t>Islak mendil</t>
  </si>
  <si>
    <t>Kraft çanta</t>
  </si>
  <si>
    <t>Havlu kâğıt</t>
  </si>
  <si>
    <t>Tuvalet kağıdı</t>
  </si>
  <si>
    <t>Espresso</t>
  </si>
  <si>
    <t>Filtre</t>
  </si>
  <si>
    <t>şeker</t>
  </si>
  <si>
    <t>viyol</t>
  </si>
  <si>
    <t>Tahıllı ekşi maya</t>
  </si>
  <si>
    <t>ARTİZAN Izgara tavuk</t>
  </si>
  <si>
    <t>Hindi füme bagel</t>
  </si>
  <si>
    <t>Üç peynirli bagel</t>
  </si>
  <si>
    <t>LAS VEGAS Üç peynirli bagel</t>
  </si>
  <si>
    <t xml:space="preserve">ARTİZAN DANA JAMBONLU </t>
  </si>
  <si>
    <t xml:space="preserve">ARTİZAN HİNDİ FÜME JAMBONLU </t>
  </si>
  <si>
    <t>Kahve çekirdeği pasta</t>
  </si>
  <si>
    <t>kutu</t>
  </si>
  <si>
    <t>Antep Cedric</t>
  </si>
  <si>
    <t>Havuçlu Mono Pasta</t>
  </si>
  <si>
    <t>American Brownie</t>
  </si>
  <si>
    <t>Frambuazlı Cheescake</t>
  </si>
  <si>
    <t>Limonlu Cheescake</t>
  </si>
  <si>
    <t>Ballı Cevizli Marlenka</t>
  </si>
  <si>
    <t>Çikolatalı Marlenka</t>
  </si>
  <si>
    <t>Kuzu Kulağı Mono Pasta</t>
  </si>
  <si>
    <t>Tiramisu</t>
  </si>
  <si>
    <t>Blueberry Cake</t>
  </si>
  <si>
    <t>Cookie Pie</t>
  </si>
  <si>
    <t>Apple Cake</t>
  </si>
  <si>
    <t>knoppers</t>
  </si>
  <si>
    <t>kinder bueno</t>
  </si>
  <si>
    <t>hanuta</t>
  </si>
  <si>
    <t>kinder happy hippo</t>
  </si>
  <si>
    <t>protein bar tiramisu</t>
  </si>
  <si>
    <t>protein bar birthday cake</t>
  </si>
  <si>
    <t>protein bar salted caramel</t>
  </si>
  <si>
    <t>protein bar çikolata</t>
  </si>
  <si>
    <t>Vanilya DaVinci</t>
  </si>
  <si>
    <t>Karamel DaVinci</t>
  </si>
  <si>
    <t>Toffee Nut DaVinci</t>
  </si>
  <si>
    <t>Juicy Lime DaVinci</t>
  </si>
  <si>
    <t>Badem DaVinci</t>
  </si>
  <si>
    <t>Pumpkin DaVinci</t>
  </si>
  <si>
    <t>Chai Tea DaVinci</t>
  </si>
  <si>
    <t>Menta DaVinci</t>
  </si>
  <si>
    <t>Çikolata DaVinci</t>
  </si>
  <si>
    <t>Coconut DaVinci</t>
  </si>
  <si>
    <t>Nane DaVinci</t>
  </si>
  <si>
    <t>Çilek DaVinci</t>
  </si>
  <si>
    <t>Dry Bitter Orange DaVinci</t>
  </si>
  <si>
    <t>Blue Ocean DaVinci</t>
  </si>
  <si>
    <t>Nar DaVinci</t>
  </si>
  <si>
    <t>Fındık DaVinci</t>
  </si>
  <si>
    <t>Frambuaz DaVinci</t>
  </si>
  <si>
    <t>Cookie DaVinci</t>
  </si>
  <si>
    <t>Passion Guava FO</t>
  </si>
  <si>
    <t>Sakura FO</t>
  </si>
  <si>
    <t>Cool Lime Base FO</t>
  </si>
  <si>
    <t>Mango Dragon Base FO</t>
  </si>
  <si>
    <t>Şeker şurubu FO</t>
  </si>
  <si>
    <t>Ananas FO</t>
  </si>
  <si>
    <t>Blueberry FO</t>
  </si>
  <si>
    <t>Chai Tea Monin</t>
  </si>
  <si>
    <t xml:space="preserve">Elektrik Çiçeği </t>
  </si>
  <si>
    <t>Beyaz çikolata sosu</t>
  </si>
  <si>
    <t>Çikolata sosu</t>
  </si>
  <si>
    <t>Karamel sosu</t>
  </si>
  <si>
    <t>Salted Caramel sosu</t>
  </si>
  <si>
    <t>Cheesecake sosu</t>
  </si>
  <si>
    <t>Antep fıstıklı sos</t>
  </si>
  <si>
    <t>Chai Tea</t>
  </si>
  <si>
    <t>Beyaz çikolata</t>
  </si>
  <si>
    <t>Çilek</t>
  </si>
  <si>
    <t>Frambuaz</t>
  </si>
  <si>
    <t>Kavun</t>
  </si>
  <si>
    <t>Karamel</t>
  </si>
  <si>
    <t>Frappe Cookie</t>
  </si>
  <si>
    <t>Sahlep</t>
  </si>
  <si>
    <t>Çikolata</t>
  </si>
  <si>
    <t>Vanilya</t>
  </si>
  <si>
    <t>kuru lime</t>
  </si>
  <si>
    <t>kuru böğürtlen</t>
  </si>
  <si>
    <t>Yaban mersini</t>
  </si>
  <si>
    <t>Karpuz</t>
  </si>
  <si>
    <t xml:space="preserve">Yeşil Elma </t>
  </si>
  <si>
    <t>Mango</t>
  </si>
  <si>
    <t>Karadut</t>
  </si>
  <si>
    <t>Passion</t>
  </si>
  <si>
    <t>80-100 jumbo çöp poşeti</t>
  </si>
  <si>
    <t>50-60 orta boy çöp poşeti</t>
  </si>
  <si>
    <t>Yapışkanlı adisyon kağıdı</t>
  </si>
  <si>
    <t>Kategori</t>
  </si>
  <si>
    <t>Ürün Adı</t>
  </si>
  <si>
    <t>Ürün Kodu</t>
  </si>
  <si>
    <t>Orijinal Stok</t>
  </si>
  <si>
    <t>Meşrubatlar</t>
  </si>
  <si>
    <t>STK-MES-SU</t>
  </si>
  <si>
    <t>10 koli</t>
  </si>
  <si>
    <t>STK-MES-BRDSU</t>
  </si>
  <si>
    <t>4 koli</t>
  </si>
  <si>
    <t>STK-MES-SOD</t>
  </si>
  <si>
    <t>2 koli</t>
  </si>
  <si>
    <t>STK-MES-ZENBOGL</t>
  </si>
  <si>
    <t>1 koli</t>
  </si>
  <si>
    <t>STK-MES-KLSBOGL</t>
  </si>
  <si>
    <t>STK-MES-LMN</t>
  </si>
  <si>
    <t>STK-MES-REY</t>
  </si>
  <si>
    <t>STK-MES-TUR</t>
  </si>
  <si>
    <t>STK-MES-REDBUL</t>
  </si>
  <si>
    <t>5 koli</t>
  </si>
  <si>
    <t>STK-MES-SKZREDBUL</t>
  </si>
  <si>
    <t>STK-MES-SEFREDBUL</t>
  </si>
  <si>
    <t>STK-MES-LMNREDBUL</t>
  </si>
  <si>
    <t>STK-MES-HDCCEVRED</t>
  </si>
  <si>
    <t>Sütler</t>
  </si>
  <si>
    <t>STK-SUT-BARSUT</t>
  </si>
  <si>
    <t>12 koli</t>
  </si>
  <si>
    <t>STK-SUT-LKZSUT</t>
  </si>
  <si>
    <t>3 koli</t>
  </si>
  <si>
    <t>STK-SUT-YULSUT</t>
  </si>
  <si>
    <t>STK-SUT-BDMSUT</t>
  </si>
  <si>
    <t>Bardaklar</t>
  </si>
  <si>
    <t>12 oz bardak</t>
  </si>
  <si>
    <t>STK-BRD-BRD12OZ</t>
  </si>
  <si>
    <t>STK-BRD-BRD14OZSIC</t>
  </si>
  <si>
    <t>STK-BRD-BRD16OZSIC</t>
  </si>
  <si>
    <t>20 oz bardak</t>
  </si>
  <si>
    <t>STK-BRD-BRD20OZ</t>
  </si>
  <si>
    <t>Kapaklar</t>
  </si>
  <si>
    <t>STK-KPK-KPKSIC</t>
  </si>
  <si>
    <t>14 koli</t>
  </si>
  <si>
    <t>STK-KPK-KPKBOM</t>
  </si>
  <si>
    <t>STK-KPK-KPKEMZ</t>
  </si>
  <si>
    <t>STK-KPK-KPKDUZPIP</t>
  </si>
  <si>
    <t>Servis</t>
  </si>
  <si>
    <t>STK-SRV-PIP</t>
  </si>
  <si>
    <t>6 koli</t>
  </si>
  <si>
    <t>STK-SRV-ISLMEN</t>
  </si>
  <si>
    <t>STK-SRV-KRACAN</t>
  </si>
  <si>
    <t>16 koli</t>
  </si>
  <si>
    <t>STK-SRV-HAVKGIT</t>
  </si>
  <si>
    <t>Büyük rulo</t>
  </si>
  <si>
    <t>STK-SRV-BYKRUL</t>
  </si>
  <si>
    <t>Despresso</t>
  </si>
  <si>
    <t>STK-SRV-DES</t>
  </si>
  <si>
    <t>3 paket</t>
  </si>
  <si>
    <t>STK-SRV-FIL</t>
  </si>
  <si>
    <t>4 paket</t>
  </si>
  <si>
    <t>Sandviç</t>
  </si>
  <si>
    <t>STK-SND-TAHEKSMAY</t>
  </si>
  <si>
    <t>Izgara tavuk</t>
  </si>
  <si>
    <t>STK-SND-IZGTAV</t>
  </si>
  <si>
    <t>STK-SND-HINFUMBAG</t>
  </si>
  <si>
    <t>STK-SND-UCPEYBAG</t>
  </si>
  <si>
    <t>Tatlılar</t>
  </si>
  <si>
    <t>STK-TAT-TRM</t>
  </si>
  <si>
    <t>3 kutu</t>
  </si>
  <si>
    <t>Tiramisu, ikinci çeşit</t>
  </si>
  <si>
    <t>STK-TAT-TRMIKICES</t>
  </si>
  <si>
    <t>1 kutu</t>
  </si>
  <si>
    <t>Lotus cheesecake</t>
  </si>
  <si>
    <t>STK-TAT-LOTCHE</t>
  </si>
  <si>
    <t>Limonlu cheesecake</t>
  </si>
  <si>
    <t>STK-TAT-LMNCHE</t>
  </si>
  <si>
    <t>3 adet</t>
  </si>
  <si>
    <t>Biscoff pasta</t>
  </si>
  <si>
    <t>STK-TAT-PSTBIS</t>
  </si>
  <si>
    <t>5 adet</t>
  </si>
  <si>
    <t>Brownie</t>
  </si>
  <si>
    <t>STK-TAT-BRO</t>
  </si>
  <si>
    <t>2 adet</t>
  </si>
  <si>
    <t>Orman meyveli pasta</t>
  </si>
  <si>
    <t>STK-TAT-PSTORMMYV</t>
  </si>
  <si>
    <t>3 dilim</t>
  </si>
  <si>
    <t>Aligo çikolatalı pasta</t>
  </si>
  <si>
    <t>STK-TAT-PSTALICIK</t>
  </si>
  <si>
    <t>Kasa Önü</t>
  </si>
  <si>
    <t>Fıstık nugat</t>
  </si>
  <si>
    <t>STK-KAS-FSTNUG</t>
  </si>
  <si>
    <t>Kabak çekirdeği</t>
  </si>
  <si>
    <t>STK-KAS-KABCEK</t>
  </si>
  <si>
    <t>Patlayan şeker</t>
  </si>
  <si>
    <t>STK-KAS-PATSEK</t>
  </si>
  <si>
    <t>Antep</t>
  </si>
  <si>
    <t>STK-KAS-ANT</t>
  </si>
  <si>
    <t>Tohumlu grissini</t>
  </si>
  <si>
    <t>STK-KAS-TOHGRI</t>
  </si>
  <si>
    <t>Fındıklı biscotti</t>
  </si>
  <si>
    <t>STK-KAS-FINBIS</t>
  </si>
  <si>
    <t>Lüks galeta</t>
  </si>
  <si>
    <t>STK-KAS-LUKGAL</t>
  </si>
  <si>
    <t>Antep fıstıklı</t>
  </si>
  <si>
    <t>STK-KAS-ANTFIS</t>
  </si>
  <si>
    <t>Frambuaz–Antep fıstıklı</t>
  </si>
  <si>
    <t>STK-KAS-FRMANTFIS</t>
  </si>
  <si>
    <t>Şuruplar</t>
  </si>
  <si>
    <t>STK-SRP-VANDAV</t>
  </si>
  <si>
    <t>STK-SRP-KRMDAV</t>
  </si>
  <si>
    <t>STK-SRP-TOFNUTDAV</t>
  </si>
  <si>
    <t>STK-SRP-JUILIMDAV</t>
  </si>
  <si>
    <t>STK-SRP-BDMDAV</t>
  </si>
  <si>
    <t>STK-SRP-PUMDAV</t>
  </si>
  <si>
    <t>STK-SRP-CHATEADAV</t>
  </si>
  <si>
    <t>STK-SRP-MENDAV</t>
  </si>
  <si>
    <t>STK-SRP-CKLDAV</t>
  </si>
  <si>
    <t>STK-SRP-HDCDAV</t>
  </si>
  <si>
    <t>STK-SRP-NANDAV</t>
  </si>
  <si>
    <t>STK-SRP-CILDAV</t>
  </si>
  <si>
    <t>STK-SRP-DRYBITORA</t>
  </si>
  <si>
    <t>STK-SRP-BLUOCEDAV</t>
  </si>
  <si>
    <t>STK-SRP-NARDAV</t>
  </si>
  <si>
    <t>STK-SRP-FNDDAV</t>
  </si>
  <si>
    <t>STK-SRP-FRMDAV</t>
  </si>
  <si>
    <t>STK-SRP-CKIDAV</t>
  </si>
  <si>
    <t>STK-SRP-PASGUAFO</t>
  </si>
  <si>
    <t>STK-SRP-SAKFO</t>
  </si>
  <si>
    <t>STK-SRP-CLMBASFO</t>
  </si>
  <si>
    <t>STK-SRP-MNGDRABAS</t>
  </si>
  <si>
    <t>STK-SRP-SEKSURFO</t>
  </si>
  <si>
    <t>STK-SRP-ANAFO</t>
  </si>
  <si>
    <t>STK-SRP-BLUFO</t>
  </si>
  <si>
    <t>STK-SRP-CHATEAMON</t>
  </si>
  <si>
    <t>Speculoos Monin</t>
  </si>
  <si>
    <t>STK-SRP-SPEMON</t>
  </si>
  <si>
    <t>Fındık Monin</t>
  </si>
  <si>
    <t>STK-SRP-FNDMON</t>
  </si>
  <si>
    <t>Kuru Lime Monin</t>
  </si>
  <si>
    <t>STK-SRP-KURLIMMON</t>
  </si>
  <si>
    <t>Kuru Böğürtlen Monin</t>
  </si>
  <si>
    <t>STK-SRP-KURBGRMON</t>
  </si>
  <si>
    <t>Soslar</t>
  </si>
  <si>
    <t>STK-SOS-BYZCKLSOS</t>
  </si>
  <si>
    <t>STK-SOS-CKLSOS</t>
  </si>
  <si>
    <t>STK-SOS-KRMSOS</t>
  </si>
  <si>
    <t>STK-SOS-SALKRMSOS</t>
  </si>
  <si>
    <t>STK-SOS-CHESOS</t>
  </si>
  <si>
    <t>Toz Ürünler</t>
  </si>
  <si>
    <t>STK-TOZ-CHATEA</t>
  </si>
  <si>
    <t>STK-TOZ-BYZCKL</t>
  </si>
  <si>
    <t>STK-TOZ-CIL</t>
  </si>
  <si>
    <t>STK-TOZ-FRM</t>
  </si>
  <si>
    <t>STK-TOZ-KAV</t>
  </si>
  <si>
    <t>STK-TOZ-KRM</t>
  </si>
  <si>
    <t>STK-TOZ-FRPCKI</t>
  </si>
  <si>
    <t>STK-TOZ-SAH</t>
  </si>
  <si>
    <t>STK-TOZ-CKL</t>
  </si>
  <si>
    <t>STK-TOZ-VAN</t>
  </si>
  <si>
    <t>Püreler</t>
  </si>
  <si>
    <t>STK-PUR-YABMER</t>
  </si>
  <si>
    <t>STK-PUR-CIL</t>
  </si>
  <si>
    <t>STK-PUR-KRP</t>
  </si>
  <si>
    <t>Elma</t>
  </si>
  <si>
    <t>STK-PUR-ELM</t>
  </si>
  <si>
    <t>STK-PUR-MNG</t>
  </si>
  <si>
    <t>STK-PUR-KRD</t>
  </si>
  <si>
    <t>STK-PUR-FRM</t>
  </si>
  <si>
    <t>STK-PUR-PAS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</si>
</sst>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color rgb="FF3B2418"/>
      <name val="Carlito"/>
    </font>
    <font>
      <sz val="11"/>
      <color rgb="FF3B2418"/>
      <name val="Carlito"/>
    </font>
    <font>
      <b/>
      <sz val="13"/>
      <color rgb="FFFFFFFF"/>
      <name val="Carlito"/>
    </font>
    <font>
      <b/>
      <sz val="11"/>
      <color rgb="FF5B3423"/>
      <name val="Carlito"/>
    </font>
    <font>
      <b/>
      <sz val="13"/>
      <color rgb="FFFFFFFF"/>
      <name val="Carlito"/>
      <charset val="1"/>
    </font>
  </fonts>
  <fills count="7">
    <fill>
      <patternFill patternType="none"/>
    </fill>
    <fill>
      <patternFill patternType="gray125"/>
    </fill>
    <fill>
      <patternFill patternType="solid">
        <fgColor rgb="FF5B3A29"/>
      </patternFill>
    </fill>
    <fill>
      <patternFill patternType="solid">
        <fgColor rgb="FFB87345"/>
      </patternFill>
    </fill>
    <fill>
      <patternFill patternType="solid">
        <fgColor rgb="FFEADDD2"/>
      </patternFill>
    </fill>
    <fill>
      <patternFill patternType="solid">
        <fgColor rgb="FFFFFDF9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C9B7A7"/>
      </left>
      <right/>
      <top/>
      <bottom/>
      <diagonal/>
    </border>
    <border>
      <left/>
      <right style="thin">
        <color rgb="FFC9B7A7"/>
      </right>
      <top/>
      <bottom/>
      <diagonal/>
    </border>
    <border>
      <left style="thin">
        <color rgb="FFD8C9BD"/>
      </left>
      <right/>
      <top style="thin">
        <color rgb="FFD8C9BD"/>
      </top>
      <bottom style="thin">
        <color rgb="FFD8C9BD"/>
      </bottom>
      <diagonal/>
    </border>
    <border>
      <left/>
      <right/>
      <top style="thin">
        <color rgb="FFD8C9BD"/>
      </top>
      <bottom style="thin">
        <color rgb="FFD8C9BD"/>
      </bottom>
      <diagonal/>
    </border>
    <border>
      <left/>
      <right style="thin">
        <color rgb="FFD8C9BD"/>
      </right>
      <top style="thin">
        <color rgb="FFD8C9BD"/>
      </top>
      <bottom style="thin">
        <color rgb="FFD8C9BD"/>
      </bottom>
      <diagonal/>
    </border>
    <border>
      <left style="thin">
        <color rgb="FF9F5F3A"/>
      </left>
      <right/>
      <top style="thin">
        <color rgb="FF9F5F3A"/>
      </top>
      <bottom style="thin">
        <color rgb="FF9F5F3A"/>
      </bottom>
      <diagonal/>
    </border>
    <border>
      <left/>
      <right/>
      <top style="thin">
        <color rgb="FF9F5F3A"/>
      </top>
      <bottom style="thin">
        <color rgb="FF9F5F3A"/>
      </bottom>
      <diagonal/>
    </border>
    <border>
      <left/>
      <right style="thin">
        <color rgb="FF9F5F3A"/>
      </right>
      <top style="thin">
        <color rgb="FF9F5F3A"/>
      </top>
      <bottom style="thin">
        <color rgb="FF9F5F3A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NumberFormat="1" applyFont="1" applyFill="1" applyBorder="1"/>
    <xf numFmtId="0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NumberFormat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  <xf numFmtId="1" fontId="5" fillId="5" borderId="6" xfId="0" applyNumberFormat="1" applyFont="1" applyFill="1" applyBorder="1" applyAlignment="1">
      <alignment horizontal="center" vertical="center" wrapText="1"/>
    </xf>
    <xf numFmtId="0" fontId="3" fillId="5" borderId="6" xfId="0" applyNumberFormat="1" applyFont="1" applyFill="1" applyBorder="1" applyAlignment="1">
      <alignment horizontal="center" vertical="center" wrapText="1"/>
    </xf>
    <xf numFmtId="0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vertical="center" wrapText="1"/>
    </xf>
    <xf numFmtId="0" fontId="4" fillId="3" borderId="7" xfId="0" applyNumberFormat="1" applyFont="1" applyFill="1" applyBorder="1" applyAlignment="1">
      <alignment horizontal="center" vertical="center" wrapText="1"/>
    </xf>
    <xf numFmtId="0" fontId="4" fillId="3" borderId="8" xfId="0" applyNumberFormat="1" applyFont="1" applyFill="1" applyBorder="1" applyAlignment="1">
      <alignment horizontal="center" vertical="center" wrapText="1"/>
    </xf>
    <xf numFmtId="0" fontId="4" fillId="3" borderId="9" xfId="0" applyNumberFormat="1" applyFont="1" applyFill="1" applyBorder="1" applyAlignment="1">
      <alignment horizontal="center" vertical="center" wrapText="1"/>
    </xf>
    <xf numFmtId="0" fontId="3" fillId="6" borderId="10" xfId="0" applyNumberFormat="1" applyFont="1" applyFill="1" applyBorder="1" applyAlignment="1">
      <alignment horizontal="center" vertical="center" wrapText="1"/>
    </xf>
    <xf numFmtId="0" fontId="3" fillId="6" borderId="11" xfId="0" applyNumberFormat="1" applyFont="1" applyFill="1" applyBorder="1" applyAlignment="1">
      <alignment horizontal="center" vertical="center" wrapText="1"/>
    </xf>
    <xf numFmtId="0" fontId="3" fillId="6" borderId="12" xfId="0" applyNumberFormat="1" applyFont="1" applyFill="1" applyBorder="1" applyAlignment="1">
      <alignment horizontal="center" vertical="center" wrapText="1"/>
    </xf>
    <xf numFmtId="0" fontId="6" fillId="3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zoomScaleNormal="100" zoomScaleSheetLayoutView="100" workbookViewId="0">
      <selection activeCell="A3" sqref="A3"/>
    </sheetView>
  </sheetViews>
  <sheetFormatPr defaultRowHeight="13.8"/>
  <cols>
    <col min="1" max="3" width="19" customWidth="1"/>
  </cols>
  <sheetData>
    <row r="1" spans="1:3" ht="26.1" customHeight="1">
      <c r="A1" s="13" t="s">
        <v>0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5</v>
      </c>
      <c r="C3" s="7">
        <v>12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14</v>
      </c>
      <c r="B7" s="9"/>
      <c r="C7" s="7">
        <f>IF(AND(A7="",B7=""),"",IF(AND(A7&lt;&gt;"",C3=""),"",A7*C3+B7))</f>
        <v>168</v>
      </c>
    </row>
    <row r="8" spans="1:3" ht="12" customHeight="1">
      <c r="A8" s="16"/>
      <c r="B8" s="17"/>
      <c r="C8" s="18"/>
    </row>
    <row r="9" spans="1:3" ht="26.1" customHeight="1">
      <c r="A9" s="13" t="s">
        <v>10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5</v>
      </c>
      <c r="C11" s="7">
        <v>72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/>
      <c r="C15" s="7">
        <f>IF(AND(A15="",B15=""),"",IF(AND(A15&lt;&gt;"",C11=""),"",A15*C11+B15))</f>
        <v>72</v>
      </c>
    </row>
    <row r="16" spans="1:3" ht="12" customHeight="1">
      <c r="A16" s="16"/>
      <c r="B16" s="17"/>
      <c r="C16" s="18"/>
    </row>
    <row r="17" spans="1:3" ht="26.1" customHeight="1">
      <c r="A17" s="13" t="s">
        <v>11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5</v>
      </c>
      <c r="C19" s="7">
        <v>24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2</v>
      </c>
      <c r="B23" s="9"/>
      <c r="C23" s="7">
        <f>IF(AND(A23="",B23=""),"",IF(AND(A23&lt;&gt;"",C19=""),"",A23*C19+B23))</f>
        <v>48</v>
      </c>
    </row>
    <row r="24" spans="1:3" ht="12" customHeight="1">
      <c r="A24" s="16"/>
      <c r="B24" s="17"/>
      <c r="C24" s="18"/>
    </row>
    <row r="25" spans="1:3" ht="26.1" customHeight="1">
      <c r="A25" s="13" t="s">
        <v>12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24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/>
      <c r="C31" s="7">
        <f>IF(AND(A31="",B31=""),"",IF(AND(A31&lt;&gt;"",C27=""),"",A31*C27+B31))</f>
        <v>24</v>
      </c>
    </row>
    <row r="32" spans="1:3" ht="12" customHeight="1">
      <c r="A32" s="16"/>
      <c r="B32" s="17"/>
      <c r="C32" s="18"/>
    </row>
    <row r="33" spans="1:3" ht="26.1" customHeight="1">
      <c r="A33" s="13" t="s">
        <v>13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4</v>
      </c>
      <c r="B35" s="9" t="s">
        <v>5</v>
      </c>
      <c r="C35" s="7">
        <v>24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koli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>
        <v>1</v>
      </c>
      <c r="B39" s="9"/>
      <c r="C39" s="7">
        <f>IF(AND(A39="",B39=""),"",IF(AND(A39&lt;&gt;"",C35=""),"",A39*C35+B39))</f>
        <v>24</v>
      </c>
    </row>
    <row r="40" spans="1:3" ht="12" customHeight="1">
      <c r="A40" s="16"/>
      <c r="B40" s="17"/>
      <c r="C40" s="18"/>
    </row>
    <row r="41" spans="1:3" ht="26.1" customHeight="1">
      <c r="A41" s="13" t="s">
        <v>14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4</v>
      </c>
      <c r="B43" s="9" t="s">
        <v>5</v>
      </c>
      <c r="C43" s="7">
        <v>24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koli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>
        <v>1</v>
      </c>
      <c r="B47" s="9"/>
      <c r="C47" s="7">
        <f>IF(AND(A47="",B47=""),"",IF(AND(A47&lt;&gt;"",C43=""),"",A47*C43+B47))</f>
        <v>24</v>
      </c>
    </row>
    <row r="48" spans="1:3" ht="12" customHeight="1">
      <c r="A48" s="16"/>
      <c r="B48" s="17"/>
      <c r="C48" s="18"/>
    </row>
    <row r="49" spans="1:3" ht="26.1" customHeight="1">
      <c r="A49" s="13" t="s">
        <v>15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4</v>
      </c>
      <c r="B51" s="9" t="s">
        <v>5</v>
      </c>
      <c r="C51" s="7">
        <v>24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koli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>
        <v>0</v>
      </c>
      <c r="B55" s="9"/>
      <c r="C55" s="7">
        <f>IF(AND(A55="",B55=""),"",IF(AND(A55&lt;&gt;"",C51=""),"",A55*C51+B55))</f>
        <v>0</v>
      </c>
    </row>
    <row r="56" spans="1:3" ht="12" customHeight="1">
      <c r="A56" s="16"/>
      <c r="B56" s="17"/>
      <c r="C56" s="18"/>
    </row>
    <row r="57" spans="1:3" ht="26.1" customHeight="1">
      <c r="A57" s="13" t="s">
        <v>16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 t="s">
        <v>4</v>
      </c>
      <c r="B59" s="9" t="s">
        <v>5</v>
      </c>
      <c r="C59" s="7">
        <v>24</v>
      </c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koli miktarı</v>
      </c>
      <c r="B62" s="10" t="str">
        <f>IF(B59="","Temel birim miktarı",B59&amp;" miktarı")</f>
        <v>adet miktarı</v>
      </c>
      <c r="C62" s="3" t="s">
        <v>9</v>
      </c>
    </row>
    <row r="63" spans="1:3" ht="21" customHeight="1">
      <c r="A63" s="8">
        <v>1</v>
      </c>
      <c r="B63" s="9">
        <v>2</v>
      </c>
      <c r="C63" s="7">
        <f>IF(AND(A63="",B63=""),"",IF(AND(A63&lt;&gt;"",C59=""),"",A63*C59+B63))</f>
        <v>26</v>
      </c>
    </row>
    <row r="64" spans="1:3" ht="12" customHeight="1">
      <c r="A64" s="16"/>
      <c r="B64" s="17"/>
      <c r="C64" s="18"/>
    </row>
    <row r="65" spans="1:3" ht="26.1" customHeight="1">
      <c r="A65" s="13" t="s">
        <v>17</v>
      </c>
      <c r="B65" s="14"/>
      <c r="C65" s="15"/>
    </row>
    <row r="66" spans="1:3" ht="20.100000000000001" customHeight="1">
      <c r="A66" s="2" t="s">
        <v>1</v>
      </c>
      <c r="B66" s="10" t="s">
        <v>2</v>
      </c>
      <c r="C66" s="3" t="s">
        <v>3</v>
      </c>
    </row>
    <row r="67" spans="1:3" ht="21" customHeight="1">
      <c r="A67" s="8" t="s">
        <v>4</v>
      </c>
      <c r="B67" s="9" t="s">
        <v>5</v>
      </c>
      <c r="C67" s="7">
        <v>24</v>
      </c>
    </row>
    <row r="68" spans="1:3" ht="20.100000000000001" customHeight="1">
      <c r="A68" s="2" t="s">
        <v>6</v>
      </c>
      <c r="B68" s="10" t="s">
        <v>7</v>
      </c>
      <c r="C68" s="3" t="s">
        <v>8</v>
      </c>
    </row>
    <row r="69" spans="1:3" ht="21" customHeight="1">
      <c r="A69" s="4">
        <v>5</v>
      </c>
      <c r="B69" s="5">
        <v>10</v>
      </c>
      <c r="C69" s="6">
        <v>20</v>
      </c>
    </row>
    <row r="70" spans="1:3" ht="20.100000000000001" customHeight="1">
      <c r="A70" s="2" t="str">
        <f>IF(A67="","Toplu birim miktarı",A67&amp;" miktarı")</f>
        <v>koli miktarı</v>
      </c>
      <c r="B70" s="10" t="str">
        <f>IF(B67="","Temel birim miktarı",B67&amp;" miktarı")</f>
        <v>adet miktarı</v>
      </c>
      <c r="C70" s="3" t="s">
        <v>9</v>
      </c>
    </row>
    <row r="71" spans="1:3" ht="21" customHeight="1">
      <c r="A71" s="8">
        <v>2</v>
      </c>
      <c r="B71" s="9">
        <v>8</v>
      </c>
      <c r="C71" s="7">
        <f>IF(AND(A71="",B71=""),"",IF(AND(A71&lt;&gt;"",C67=""),"",A71*C67+B71))</f>
        <v>56</v>
      </c>
    </row>
    <row r="72" spans="1:3" ht="12" customHeight="1">
      <c r="A72" s="16"/>
      <c r="B72" s="17"/>
      <c r="C72" s="18"/>
    </row>
    <row r="73" spans="1:3" ht="26.1" customHeight="1">
      <c r="A73" s="13" t="s">
        <v>18</v>
      </c>
      <c r="B73" s="14"/>
      <c r="C73" s="15"/>
    </row>
    <row r="74" spans="1:3" ht="20.100000000000001" customHeight="1">
      <c r="A74" s="2" t="s">
        <v>1</v>
      </c>
      <c r="B74" s="10" t="s">
        <v>2</v>
      </c>
      <c r="C74" s="3" t="s">
        <v>3</v>
      </c>
    </row>
    <row r="75" spans="1:3" ht="21" customHeight="1">
      <c r="A75" s="8" t="s">
        <v>4</v>
      </c>
      <c r="B75" s="9" t="s">
        <v>5</v>
      </c>
      <c r="C75" s="7">
        <v>24</v>
      </c>
    </row>
    <row r="76" spans="1:3" ht="20.100000000000001" customHeight="1">
      <c r="A76" s="2" t="s">
        <v>6</v>
      </c>
      <c r="B76" s="10" t="s">
        <v>7</v>
      </c>
      <c r="C76" s="3" t="s">
        <v>8</v>
      </c>
    </row>
    <row r="77" spans="1:3" ht="21" customHeight="1">
      <c r="A77" s="4">
        <v>5</v>
      </c>
      <c r="B77" s="5">
        <v>10</v>
      </c>
      <c r="C77" s="6">
        <v>20</v>
      </c>
    </row>
    <row r="78" spans="1:3" ht="20.100000000000001" customHeight="1">
      <c r="A78" s="2" t="str">
        <f>IF(A75="","Toplu birim miktarı",A75&amp;" miktarı")</f>
        <v>koli miktarı</v>
      </c>
      <c r="B78" s="10" t="str">
        <f>IF(B75="","Temel birim miktarı",B75&amp;" miktarı")</f>
        <v>adet miktarı</v>
      </c>
      <c r="C78" s="3" t="s">
        <v>9</v>
      </c>
    </row>
    <row r="79" spans="1:3" ht="21" customHeight="1">
      <c r="A79" s="8">
        <v>2</v>
      </c>
      <c r="B79" s="9">
        <v>6</v>
      </c>
      <c r="C79" s="7">
        <f>IF(AND(A79="",B79=""),"",IF(AND(A79&lt;&gt;"",C75=""),"",A79*C75+B79))</f>
        <v>54</v>
      </c>
    </row>
    <row r="80" spans="1:3" ht="12" customHeight="1">
      <c r="A80" s="16"/>
      <c r="B80" s="17"/>
      <c r="C80" s="18"/>
    </row>
    <row r="81" spans="1:3" ht="26.1" customHeight="1">
      <c r="A81" s="13" t="s">
        <v>19</v>
      </c>
      <c r="B81" s="14"/>
      <c r="C81" s="15"/>
    </row>
    <row r="82" spans="1:3" ht="20.100000000000001" customHeight="1">
      <c r="A82" s="2" t="s">
        <v>1</v>
      </c>
      <c r="B82" s="10" t="s">
        <v>2</v>
      </c>
      <c r="C82" s="3" t="s">
        <v>3</v>
      </c>
    </row>
    <row r="83" spans="1:3" ht="21" customHeight="1">
      <c r="A83" s="8" t="s">
        <v>4</v>
      </c>
      <c r="B83" s="9" t="s">
        <v>5</v>
      </c>
      <c r="C83" s="7">
        <v>24</v>
      </c>
    </row>
    <row r="84" spans="1:3" ht="20.100000000000001" customHeight="1">
      <c r="A84" s="2" t="s">
        <v>6</v>
      </c>
      <c r="B84" s="10" t="s">
        <v>7</v>
      </c>
      <c r="C84" s="3" t="s">
        <v>8</v>
      </c>
    </row>
    <row r="85" spans="1:3" ht="21" customHeight="1">
      <c r="A85" s="4">
        <v>5</v>
      </c>
      <c r="B85" s="5">
        <v>10</v>
      </c>
      <c r="C85" s="6">
        <v>20</v>
      </c>
    </row>
    <row r="86" spans="1:3" ht="20.100000000000001" customHeight="1">
      <c r="A86" s="2" t="str">
        <f>IF(A83="","Toplu birim miktarı",A83&amp;" miktarı")</f>
        <v>koli miktarı</v>
      </c>
      <c r="B86" s="10" t="str">
        <f>IF(B83="","Temel birim miktarı",B83&amp;" miktarı")</f>
        <v>adet miktarı</v>
      </c>
      <c r="C86" s="3" t="s">
        <v>9</v>
      </c>
    </row>
    <row r="87" spans="1:3" ht="21" customHeight="1">
      <c r="A87" s="8">
        <v>0</v>
      </c>
      <c r="B87" s="9">
        <v>0</v>
      </c>
      <c r="C87" s="7">
        <f>IF(AND(A87="",B87=""),"",IF(AND(A87&lt;&gt;"",C83=""),"",A87*C83+B87))</f>
        <v>0</v>
      </c>
    </row>
    <row r="88" spans="1:3" ht="12" customHeight="1">
      <c r="A88" s="16"/>
      <c r="B88" s="17"/>
      <c r="C88" s="18"/>
    </row>
    <row r="89" spans="1:3" ht="26.1" customHeight="1">
      <c r="A89" s="13" t="s">
        <v>20</v>
      </c>
      <c r="B89" s="14"/>
      <c r="C89" s="15"/>
    </row>
    <row r="90" spans="1:3" ht="20.100000000000001" customHeight="1">
      <c r="A90" s="2" t="s">
        <v>1</v>
      </c>
      <c r="B90" s="10" t="s">
        <v>2</v>
      </c>
      <c r="C90" s="3" t="s">
        <v>3</v>
      </c>
    </row>
    <row r="91" spans="1:3" ht="21" customHeight="1">
      <c r="A91" s="8" t="s">
        <v>4</v>
      </c>
      <c r="B91" s="9" t="s">
        <v>5</v>
      </c>
      <c r="C91" s="7">
        <v>24</v>
      </c>
    </row>
    <row r="92" spans="1:3" ht="20.100000000000001" customHeight="1">
      <c r="A92" s="2" t="s">
        <v>6</v>
      </c>
      <c r="B92" s="10" t="s">
        <v>7</v>
      </c>
      <c r="C92" s="3" t="s">
        <v>8</v>
      </c>
    </row>
    <row r="93" spans="1:3" ht="21" customHeight="1">
      <c r="A93" s="4">
        <v>5</v>
      </c>
      <c r="B93" s="5">
        <v>10</v>
      </c>
      <c r="C93" s="6">
        <v>20</v>
      </c>
    </row>
    <row r="94" spans="1:3" ht="20.100000000000001" customHeight="1">
      <c r="A94" s="2" t="str">
        <f>IF(A91="","Toplu birim miktarı",A91&amp;" miktarı")</f>
        <v>koli miktarı</v>
      </c>
      <c r="B94" s="10" t="str">
        <f>IF(B91="","Temel birim miktarı",B91&amp;" miktarı")</f>
        <v>adet miktarı</v>
      </c>
      <c r="C94" s="3" t="s">
        <v>9</v>
      </c>
    </row>
    <row r="95" spans="1:3" ht="21" customHeight="1">
      <c r="A95" s="8">
        <v>0</v>
      </c>
      <c r="B95" s="9">
        <v>7</v>
      </c>
      <c r="C95" s="7">
        <f>IF(AND(A95="",B95=""),"",IF(AND(A95&lt;&gt;"",C91=""),"",A95*C91+B95))</f>
        <v>7</v>
      </c>
    </row>
    <row r="96" spans="1:3" ht="12" customHeight="1">
      <c r="A96" s="16"/>
      <c r="B96" s="17"/>
      <c r="C96" s="18"/>
    </row>
    <row r="97" spans="1:3" ht="26.1" customHeight="1">
      <c r="A97" s="13" t="s">
        <v>21</v>
      </c>
      <c r="B97" s="14"/>
      <c r="C97" s="15"/>
    </row>
    <row r="98" spans="1:3" ht="20.100000000000001" customHeight="1">
      <c r="A98" s="2" t="s">
        <v>1</v>
      </c>
      <c r="B98" s="10" t="s">
        <v>2</v>
      </c>
      <c r="C98" s="3" t="s">
        <v>3</v>
      </c>
    </row>
    <row r="99" spans="1:3" ht="21" customHeight="1">
      <c r="A99" s="8" t="s">
        <v>4</v>
      </c>
      <c r="B99" s="9" t="s">
        <v>5</v>
      </c>
      <c r="C99" s="7">
        <v>24</v>
      </c>
    </row>
    <row r="100" spans="1:3" ht="20.100000000000001" customHeight="1">
      <c r="A100" s="2" t="s">
        <v>6</v>
      </c>
      <c r="B100" s="10" t="s">
        <v>7</v>
      </c>
      <c r="C100" s="3" t="s">
        <v>8</v>
      </c>
    </row>
    <row r="101" spans="1:3" ht="21" customHeight="1">
      <c r="A101" s="4">
        <v>5</v>
      </c>
      <c r="B101" s="5">
        <v>10</v>
      </c>
      <c r="C101" s="6">
        <v>20</v>
      </c>
    </row>
    <row r="102" spans="1:3" ht="20.100000000000001" customHeight="1">
      <c r="A102" s="2" t="str">
        <f>IF(A99="","Toplu birim miktarı",A99&amp;" miktarı")</f>
        <v>koli miktarı</v>
      </c>
      <c r="B102" s="10" t="str">
        <f>IF(B99="","Temel birim miktarı",B99&amp;" miktarı")</f>
        <v>adet miktarı</v>
      </c>
      <c r="C102" s="3" t="s">
        <v>9</v>
      </c>
    </row>
    <row r="103" spans="1:3" ht="21" customHeight="1">
      <c r="A103" s="8">
        <v>0</v>
      </c>
      <c r="B103" s="9">
        <v>10</v>
      </c>
      <c r="C103" s="7">
        <f>IF(AND(A103="",B103=""),"",IF(AND(A103&lt;&gt;"",C99=""),"",A103*C99+B103))</f>
        <v>10</v>
      </c>
    </row>
    <row r="104" spans="1:3" ht="6.9" customHeight="1"/>
    <row r="105" spans="1:3" ht="16.8">
      <c r="A105" s="13" t="s">
        <v>22</v>
      </c>
      <c r="B105" s="14"/>
      <c r="C105" s="15"/>
    </row>
    <row r="106" spans="1:3">
      <c r="A106" s="2" t="s">
        <v>1</v>
      </c>
      <c r="B106" s="10" t="s">
        <v>2</v>
      </c>
      <c r="C106" s="3" t="s">
        <v>3</v>
      </c>
    </row>
    <row r="107" spans="1:3">
      <c r="A107" s="8" t="s">
        <v>4</v>
      </c>
      <c r="B107" s="9" t="s">
        <v>5</v>
      </c>
      <c r="C107" s="7">
        <v>24</v>
      </c>
    </row>
    <row r="108" spans="1:3">
      <c r="A108" s="2" t="s">
        <v>6</v>
      </c>
      <c r="B108" s="10" t="s">
        <v>7</v>
      </c>
      <c r="C108" s="3" t="s">
        <v>8</v>
      </c>
    </row>
    <row r="109" spans="1:3">
      <c r="A109" s="4">
        <v>5</v>
      </c>
      <c r="B109" s="5">
        <v>10</v>
      </c>
      <c r="C109" s="6">
        <v>20</v>
      </c>
    </row>
    <row r="110" spans="1:3">
      <c r="A110" s="2" t="str">
        <f>IF(A107="","Toplu birim miktarı",A107&amp;" miktarı")</f>
        <v>koli miktarı</v>
      </c>
      <c r="B110" s="10" t="str">
        <f>IF(B107="","Temel birim miktarı",B107&amp;" miktarı")</f>
        <v>adet miktarı</v>
      </c>
      <c r="C110" s="3" t="s">
        <v>9</v>
      </c>
    </row>
    <row r="111" spans="1:3">
      <c r="A111" s="8">
        <v>1</v>
      </c>
      <c r="B111" s="9">
        <v>12</v>
      </c>
      <c r="C111" s="7">
        <f>IF(AND(A111="",B111=""),"",IF(AND(A111&lt;&gt;"",C107=""),"",A111*C107+B111))</f>
        <v>36</v>
      </c>
    </row>
    <row r="113" spans="1:3" ht="16.8">
      <c r="A113" s="13" t="s">
        <v>23</v>
      </c>
      <c r="B113" s="14"/>
      <c r="C113" s="15"/>
    </row>
    <row r="114" spans="1:3">
      <c r="A114" s="2" t="s">
        <v>1</v>
      </c>
      <c r="B114" s="10" t="s">
        <v>2</v>
      </c>
      <c r="C114" s="3" t="s">
        <v>3</v>
      </c>
    </row>
    <row r="115" spans="1:3">
      <c r="A115" s="8" t="s">
        <v>4</v>
      </c>
      <c r="B115" s="9" t="s">
        <v>5</v>
      </c>
      <c r="C115" s="7">
        <v>24</v>
      </c>
    </row>
    <row r="116" spans="1:3">
      <c r="A116" s="2" t="s">
        <v>6</v>
      </c>
      <c r="B116" s="10" t="s">
        <v>7</v>
      </c>
      <c r="C116" s="3" t="s">
        <v>8</v>
      </c>
    </row>
    <row r="117" spans="1:3">
      <c r="A117" s="4">
        <v>5</v>
      </c>
      <c r="B117" s="5">
        <v>10</v>
      </c>
      <c r="C117" s="6">
        <v>20</v>
      </c>
    </row>
    <row r="118" spans="1:3">
      <c r="A118" s="2" t="str">
        <f>IF(A115="","Toplu birim miktarı",A115&amp;" miktarı")</f>
        <v>koli miktarı</v>
      </c>
      <c r="B118" s="10" t="str">
        <f>IF(B115="","Temel birim miktarı",B115&amp;" miktarı")</f>
        <v>adet miktarı</v>
      </c>
      <c r="C118" s="3" t="s">
        <v>9</v>
      </c>
    </row>
    <row r="119" spans="1:3">
      <c r="A119" s="8">
        <v>0</v>
      </c>
      <c r="B119" s="9">
        <v>19</v>
      </c>
      <c r="C119" s="7">
        <f>IF(AND(A119="",B119=""),"",IF(AND(A119&lt;&gt;"",C115=""),"",A119*C115+B119))</f>
        <v>19</v>
      </c>
    </row>
  </sheetData>
  <mergeCells count="27">
    <mergeCell ref="A1:C1"/>
    <mergeCell ref="A9:C9"/>
    <mergeCell ref="A17:C17"/>
    <mergeCell ref="A25:C25"/>
    <mergeCell ref="A33:C33"/>
    <mergeCell ref="A80:C80"/>
    <mergeCell ref="A8:C8"/>
    <mergeCell ref="A16:C16"/>
    <mergeCell ref="A24:C24"/>
    <mergeCell ref="A32:C32"/>
    <mergeCell ref="A40:C40"/>
    <mergeCell ref="A41:C41"/>
    <mergeCell ref="A49:C49"/>
    <mergeCell ref="A57:C57"/>
    <mergeCell ref="A65:C65"/>
    <mergeCell ref="A73:C73"/>
    <mergeCell ref="A48:C48"/>
    <mergeCell ref="A56:C56"/>
    <mergeCell ref="A64:C64"/>
    <mergeCell ref="A72:C72"/>
    <mergeCell ref="A105:C105"/>
    <mergeCell ref="A113:C113"/>
    <mergeCell ref="A81:C81"/>
    <mergeCell ref="A89:C89"/>
    <mergeCell ref="A97:C97"/>
    <mergeCell ref="A88:C88"/>
    <mergeCell ref="A96:C96"/>
  </mergeCells>
  <dataValidations count="3">
    <dataValidation type="list" sqref="A3 A99 A91 A83 A75 A67 A59 A51 A43 A35 A27 A19 A11 A107 A115" xr:uid="{00000000-0002-0000-0000-000000000000}">
      <formula1>"koli,kasa,paket,kutu,çuval,adet"</formula1>
    </dataValidation>
    <dataValidation type="list" sqref="B3 B99 B91 B83 B75 B67 B59 B51 B43 B35 B27 B19 B11 B107 B115" xr:uid="{00000000-0002-0000-0000-000001000000}">
      <formula1>"adet,şişe,litre,ml,kg,gr,metre,koli,paket,kutu"</formula1>
    </dataValidation>
    <dataValidation type="decimal" operator="greaterThan" sqref="C3 C99 C91 C83 C75 C67 C59 C51 C43 C35 C27 C19 C11 C107 C115" xr:uid="{00000000-0002-0000-0000-000002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21" zoomScaleNormal="100" zoomScaleSheetLayoutView="100" workbookViewId="0">
      <selection activeCell="G29" sqref="G29"/>
    </sheetView>
  </sheetViews>
  <sheetFormatPr defaultRowHeight="13.8"/>
  <cols>
    <col min="1" max="3" width="19" customWidth="1"/>
  </cols>
  <sheetData>
    <row r="1" spans="1:3" ht="26.1" customHeight="1">
      <c r="A1" s="13" t="s">
        <v>24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5</v>
      </c>
      <c r="C3" s="7">
        <v>12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16</v>
      </c>
      <c r="B7" s="9">
        <v>5</v>
      </c>
      <c r="C7" s="7">
        <f>IF(AND(A7="",B7=""),"",IF(AND(A7&lt;&gt;"",C3=""),"",A7*C3+B7))</f>
        <v>197</v>
      </c>
    </row>
    <row r="8" spans="1:3" ht="12" customHeight="1">
      <c r="A8" s="16"/>
      <c r="B8" s="17"/>
      <c r="C8" s="18"/>
    </row>
    <row r="9" spans="1:3" ht="26.1" customHeight="1">
      <c r="A9" s="13" t="s">
        <v>25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5</v>
      </c>
      <c r="C11" s="7">
        <v>12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2</v>
      </c>
      <c r="B15" s="9">
        <v>4</v>
      </c>
      <c r="C15" s="7">
        <f>IF(AND(A15="",B15=""),"",IF(AND(A15&lt;&gt;"",C11=""),"",A15*C11+B15))</f>
        <v>28</v>
      </c>
    </row>
    <row r="16" spans="1:3" ht="12" customHeight="1">
      <c r="A16" s="16"/>
      <c r="B16" s="17"/>
      <c r="C16" s="18"/>
    </row>
    <row r="17" spans="1:3" ht="26.1" customHeight="1">
      <c r="A17" s="13" t="s">
        <v>26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5</v>
      </c>
      <c r="C19" s="7">
        <v>12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6</v>
      </c>
      <c r="B23" s="9">
        <v>4</v>
      </c>
      <c r="C23" s="7">
        <f>IF(AND(A23="",B23=""),"",IF(AND(A23&lt;&gt;"",C19=""),"",A23*C19+B23))</f>
        <v>76</v>
      </c>
    </row>
    <row r="24" spans="1:3" ht="12" customHeight="1">
      <c r="A24" s="16"/>
      <c r="B24" s="17"/>
      <c r="C24" s="18"/>
    </row>
    <row r="25" spans="1:3" ht="26.1" customHeight="1">
      <c r="A25" s="13" t="s">
        <v>27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12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3</v>
      </c>
      <c r="B31" s="9">
        <v>3</v>
      </c>
      <c r="C31" s="7">
        <f>IF(AND(A31="",B31=""),"",IF(AND(A31&lt;&gt;"",C27=""),"",A31*C27+B31))</f>
        <v>39</v>
      </c>
    </row>
    <row r="32" spans="1:3" ht="6.9" customHeight="1"/>
  </sheetData>
  <mergeCells count="7">
    <mergeCell ref="A1:C1"/>
    <mergeCell ref="A9:C9"/>
    <mergeCell ref="A17:C17"/>
    <mergeCell ref="A25:C25"/>
    <mergeCell ref="A8:C8"/>
    <mergeCell ref="A16:C16"/>
    <mergeCell ref="A24:C24"/>
  </mergeCells>
  <dataValidations count="3">
    <dataValidation type="list" sqref="A3 A27 A19 A11" xr:uid="{00000000-0002-0000-0100-000000000000}">
      <formula1>"koli,kasa,paket,kutu,çuval,adet"</formula1>
    </dataValidation>
    <dataValidation type="list" sqref="B3 B27 B19 B11" xr:uid="{00000000-0002-0000-0100-000001000000}">
      <formula1>"adet,şişe,litre,ml,kg,gr,metre,koli,paket,kutu"</formula1>
    </dataValidation>
    <dataValidation type="decimal" operator="greaterThan" sqref="C3 C27 C19 C11" xr:uid="{00000000-0002-0000-0100-000002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zoomScaleNormal="100" zoomScaleSheetLayoutView="100" workbookViewId="0">
      <selection activeCell="F22" sqref="F22"/>
    </sheetView>
  </sheetViews>
  <sheetFormatPr defaultRowHeight="13.8"/>
  <cols>
    <col min="1" max="3" width="19" customWidth="1"/>
  </cols>
  <sheetData>
    <row r="1" spans="1:3" ht="26.1" customHeight="1">
      <c r="A1" s="13" t="s">
        <v>28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5</v>
      </c>
      <c r="C3" s="7">
        <v>20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2</v>
      </c>
      <c r="B7" s="9"/>
      <c r="C7" s="7">
        <f>IF(AND(A7="",B7=""),"",IF(AND(A7&lt;&gt;"",C3=""),"",A7*C3+B7))</f>
        <v>40</v>
      </c>
    </row>
    <row r="8" spans="1:3" ht="12" customHeight="1">
      <c r="A8" s="16"/>
      <c r="B8" s="17"/>
      <c r="C8" s="18"/>
    </row>
    <row r="9" spans="1:3" ht="26.1" customHeight="1">
      <c r="A9" s="13" t="s">
        <v>29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5</v>
      </c>
      <c r="C11" s="7">
        <v>20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>
        <v>12</v>
      </c>
      <c r="C15" s="7">
        <f>IF(AND(A15="",B15=""),"",IF(AND(A15&lt;&gt;"",C11=""),"",A15*C11+B15))</f>
        <v>32</v>
      </c>
    </row>
    <row r="16" spans="1:3" ht="12" customHeight="1">
      <c r="A16" s="16"/>
      <c r="B16" s="17"/>
      <c r="C16" s="18"/>
    </row>
    <row r="17" spans="1:3" ht="26.1" customHeight="1">
      <c r="A17" s="13" t="s">
        <v>30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5</v>
      </c>
      <c r="C19" s="7">
        <v>20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1</v>
      </c>
      <c r="B23" s="9"/>
      <c r="C23" s="7">
        <f>IF(AND(A23="",B23=""),"",IF(AND(A23&lt;&gt;"",C19=""),"",A23*C19+B23))</f>
        <v>20</v>
      </c>
    </row>
    <row r="24" spans="1:3" ht="12" customHeight="1">
      <c r="A24" s="16"/>
      <c r="B24" s="17"/>
      <c r="C24" s="18"/>
    </row>
    <row r="25" spans="1:3" ht="26.1" customHeight="1">
      <c r="A25" s="13" t="s">
        <v>31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20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/>
      <c r="C31" s="7">
        <f>IF(AND(A31="",B31=""),"",IF(AND(A31&lt;&gt;"",C27=""),"",A31*C27+B31))</f>
        <v>20</v>
      </c>
    </row>
    <row r="32" spans="1:3" ht="6.9" customHeight="1"/>
    <row r="33" spans="1:3" ht="16.8">
      <c r="A33" s="13" t="s">
        <v>32</v>
      </c>
      <c r="B33" s="14"/>
      <c r="C33" s="15"/>
    </row>
    <row r="34" spans="1:3">
      <c r="A34" s="2" t="s">
        <v>1</v>
      </c>
      <c r="B34" s="10" t="s">
        <v>2</v>
      </c>
      <c r="C34" s="3" t="s">
        <v>3</v>
      </c>
    </row>
    <row r="35" spans="1:3">
      <c r="A35" s="8" t="s">
        <v>4</v>
      </c>
      <c r="B35" s="9" t="s">
        <v>5</v>
      </c>
      <c r="C35" s="7">
        <v>20</v>
      </c>
    </row>
    <row r="36" spans="1:3">
      <c r="A36" s="2" t="s">
        <v>6</v>
      </c>
      <c r="B36" s="10" t="s">
        <v>7</v>
      </c>
      <c r="C36" s="3" t="s">
        <v>8</v>
      </c>
    </row>
    <row r="37" spans="1:3">
      <c r="A37" s="4">
        <v>5</v>
      </c>
      <c r="B37" s="5">
        <v>10</v>
      </c>
      <c r="C37" s="6">
        <v>20</v>
      </c>
    </row>
    <row r="38" spans="1:3">
      <c r="A38" s="2" t="str">
        <f>IF(A35="","Toplu birim miktarı",A35&amp;" miktarı")</f>
        <v>koli miktarı</v>
      </c>
      <c r="B38" s="10" t="str">
        <f>IF(B35="","Temel birim miktarı",B35&amp;" miktarı")</f>
        <v>adet miktarı</v>
      </c>
      <c r="C38" s="3" t="s">
        <v>9</v>
      </c>
    </row>
    <row r="39" spans="1:3">
      <c r="A39" s="8">
        <v>2</v>
      </c>
      <c r="B39" s="9">
        <v>12</v>
      </c>
      <c r="C39" s="7">
        <f>IF(AND(A39="",B39=""),"",IF(AND(A39&lt;&gt;"",C35=""),"",A39*C35+B39))</f>
        <v>52</v>
      </c>
    </row>
  </sheetData>
  <mergeCells count="8">
    <mergeCell ref="A33:C33"/>
    <mergeCell ref="A1:C1"/>
    <mergeCell ref="A9:C9"/>
    <mergeCell ref="A17:C17"/>
    <mergeCell ref="A25:C25"/>
    <mergeCell ref="A8:C8"/>
    <mergeCell ref="A16:C16"/>
    <mergeCell ref="A24:C24"/>
  </mergeCells>
  <dataValidations count="3">
    <dataValidation type="list" sqref="A3 A27 A19 A11 A35" xr:uid="{00000000-0002-0000-0200-000000000000}">
      <formula1>"koli,kasa,paket,kutu,çuval,adet"</formula1>
    </dataValidation>
    <dataValidation type="list" sqref="B3 B27 B19 B11 B35" xr:uid="{00000000-0002-0000-0200-000001000000}">
      <formula1>"adet,şişe,litre,ml,kg,gr,metre,koli,paket,kutu"</formula1>
    </dataValidation>
    <dataValidation type="decimal" operator="greaterThan" sqref="C3 C27 C19 C11 C35" xr:uid="{00000000-0002-0000-0200-000002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zoomScaleNormal="100" zoomScaleSheetLayoutView="100" workbookViewId="0">
      <selection activeCell="E14" sqref="E14"/>
    </sheetView>
  </sheetViews>
  <sheetFormatPr defaultRowHeight="13.8"/>
  <cols>
    <col min="1" max="3" width="19" customWidth="1"/>
  </cols>
  <sheetData>
    <row r="1" spans="1:3" ht="26.1" customHeight="1">
      <c r="A1" s="13" t="s">
        <v>33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34</v>
      </c>
      <c r="C3" s="7">
        <v>20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paket miktarı</v>
      </c>
      <c r="C6" s="3" t="s">
        <v>9</v>
      </c>
    </row>
    <row r="7" spans="1:3" ht="21" customHeight="1">
      <c r="A7" s="8">
        <v>13</v>
      </c>
      <c r="B7" s="9"/>
      <c r="C7" s="7">
        <f>IF(AND(A7="",B7=""),"",IF(AND(A7&lt;&gt;"",C3=""),"",A7*C3+B7))</f>
        <v>260</v>
      </c>
    </row>
    <row r="8" spans="1:3" ht="12" customHeight="1">
      <c r="A8" s="16"/>
      <c r="B8" s="17"/>
      <c r="C8" s="18"/>
    </row>
    <row r="9" spans="1:3" ht="26.1" customHeight="1">
      <c r="A9" s="13" t="s">
        <v>35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34</v>
      </c>
      <c r="C11" s="7">
        <v>20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paket miktarı</v>
      </c>
      <c r="C14" s="3" t="s">
        <v>9</v>
      </c>
    </row>
    <row r="15" spans="1:3" ht="21" customHeight="1">
      <c r="A15" s="8">
        <v>0</v>
      </c>
      <c r="B15" s="9"/>
      <c r="C15" s="7">
        <f>IF(AND(A15="",B15=""),"",IF(AND(A15&lt;&gt;"",C11=""),"",A15*C11+B15))</f>
        <v>0</v>
      </c>
    </row>
    <row r="16" spans="1:3" ht="12" customHeight="1">
      <c r="A16" s="16"/>
      <c r="B16" s="17"/>
      <c r="C16" s="18"/>
    </row>
    <row r="17" spans="1:3" ht="26.1" customHeight="1">
      <c r="A17" s="13" t="s">
        <v>36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34</v>
      </c>
      <c r="C19" s="7">
        <v>20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paket miktarı</v>
      </c>
      <c r="C22" s="3" t="s">
        <v>9</v>
      </c>
    </row>
    <row r="23" spans="1:3" ht="21" customHeight="1">
      <c r="A23" s="8">
        <v>1</v>
      </c>
      <c r="B23" s="9"/>
      <c r="C23" s="7">
        <f>IF(AND(A23="",B23=""),"",IF(AND(A23&lt;&gt;"",C19=""),"",A23*C19+B23))</f>
        <v>20</v>
      </c>
    </row>
    <row r="24" spans="1:3" ht="12" customHeight="1">
      <c r="A24" s="16"/>
      <c r="B24" s="17"/>
      <c r="C24" s="18"/>
    </row>
    <row r="25" spans="1:3" ht="26.1" customHeight="1">
      <c r="A25" s="13" t="s">
        <v>37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34</v>
      </c>
      <c r="C27" s="7">
        <v>20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paket miktarı</v>
      </c>
      <c r="C30" s="3" t="s">
        <v>9</v>
      </c>
    </row>
    <row r="31" spans="1:3" ht="21" customHeight="1">
      <c r="A31" s="8">
        <v>2</v>
      </c>
      <c r="B31" s="9"/>
      <c r="C31" s="7">
        <f>IF(AND(A31="",B31=""),"",IF(AND(A31&lt;&gt;"",C27=""),"",A31*C27+B31))</f>
        <v>40</v>
      </c>
    </row>
    <row r="32" spans="1:3" ht="6.9" customHeight="1"/>
  </sheetData>
  <mergeCells count="7">
    <mergeCell ref="A1:C1"/>
    <mergeCell ref="A9:C9"/>
    <mergeCell ref="A17:C17"/>
    <mergeCell ref="A25:C25"/>
    <mergeCell ref="A8:C8"/>
    <mergeCell ref="A16:C16"/>
    <mergeCell ref="A24:C24"/>
  </mergeCells>
  <dataValidations count="3">
    <dataValidation type="list" sqref="A3 A27 A19 A11" xr:uid="{00000000-0002-0000-0300-000000000000}">
      <formula1>"koli,kasa,paket,kutu,çuval,adet"</formula1>
    </dataValidation>
    <dataValidation type="list" sqref="B3 B27 B19 B11" xr:uid="{00000000-0002-0000-0300-000001000000}">
      <formula1>"adet,şişe,litre,ml,kg,gr,metre,koli,paket,kutu"</formula1>
    </dataValidation>
    <dataValidation type="decimal" operator="greaterThan" sqref="C3 C27 C19 C11" xr:uid="{00000000-0002-0000-0300-000002000000}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1"/>
  <sheetViews>
    <sheetView topLeftCell="A54" zoomScaleNormal="100" zoomScaleSheetLayoutView="100" workbookViewId="0">
      <selection activeCell="C74" sqref="C74"/>
    </sheetView>
  </sheetViews>
  <sheetFormatPr defaultRowHeight="13.8"/>
  <cols>
    <col min="1" max="3" width="19" customWidth="1"/>
  </cols>
  <sheetData>
    <row r="1" spans="1:3" ht="26.1" customHeight="1">
      <c r="A1" s="13" t="s">
        <v>38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5</v>
      </c>
      <c r="C3" s="7">
        <v>5000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3</v>
      </c>
      <c r="B7" s="9"/>
      <c r="C7" s="7">
        <f>IF(AND(A7="",B7=""),"",IF(AND(A7&lt;&gt;"",C3=""),"",A7*C3+B7))</f>
        <v>15000</v>
      </c>
    </row>
    <row r="8" spans="1:3" ht="12" customHeight="1">
      <c r="A8" s="16"/>
      <c r="B8" s="17"/>
      <c r="C8" s="18"/>
    </row>
    <row r="9" spans="1:3" ht="26.1" customHeight="1">
      <c r="A9" s="13" t="s">
        <v>39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5</v>
      </c>
      <c r="C11" s="7">
        <v>1600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6</v>
      </c>
      <c r="B15" s="9"/>
      <c r="C15" s="7">
        <f>IF(AND(A15="",B15=""),"",IF(AND(A15&lt;&gt;"",C11=""),"",A15*C11+B15))</f>
        <v>9600</v>
      </c>
    </row>
    <row r="16" spans="1:3" ht="12" customHeight="1">
      <c r="A16" s="16"/>
      <c r="B16" s="17"/>
      <c r="C16" s="18"/>
    </row>
    <row r="17" spans="1:3" ht="26.1" customHeight="1">
      <c r="A17" s="13" t="s">
        <v>40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5</v>
      </c>
      <c r="C19" s="7">
        <v>250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15</v>
      </c>
      <c r="B23" s="9"/>
      <c r="C23" s="7">
        <f>IF(AND(A23="",B23=""),"",IF(AND(A23&lt;&gt;"",C19=""),"",A23*C19+B23))</f>
        <v>3750</v>
      </c>
    </row>
    <row r="24" spans="1:3" ht="12" customHeight="1">
      <c r="A24" s="16"/>
      <c r="B24" s="17"/>
      <c r="C24" s="18"/>
    </row>
    <row r="25" spans="1:3" ht="26.1" customHeight="1">
      <c r="A25" s="13" t="s">
        <v>41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34</v>
      </c>
      <c r="B27" s="9" t="s">
        <v>5</v>
      </c>
      <c r="C27" s="7">
        <v>1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paket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4</v>
      </c>
      <c r="B31" s="9"/>
      <c r="C31" s="7">
        <f>IF(AND(A31="",B31=""),"",IF(AND(A31&lt;&gt;"",C27=""),"",A31*C27+B31))</f>
        <v>4</v>
      </c>
    </row>
    <row r="32" spans="1:3" ht="12" customHeight="1">
      <c r="A32" s="16"/>
      <c r="B32" s="17"/>
      <c r="C32" s="18"/>
    </row>
    <row r="33" spans="1:3" ht="26.1" customHeight="1">
      <c r="A33" s="13" t="s">
        <v>42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34</v>
      </c>
      <c r="B35" s="9"/>
      <c r="C35" s="7">
        <v>1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paket miktarı</v>
      </c>
      <c r="B38" s="10" t="str">
        <f>IF(B35="","Temel birim miktarı",B35&amp;" miktarı")</f>
        <v>Temel birim miktarı</v>
      </c>
      <c r="C38" s="3" t="s">
        <v>9</v>
      </c>
    </row>
    <row r="39" spans="1:3" ht="21" customHeight="1">
      <c r="A39" s="8">
        <v>4</v>
      </c>
      <c r="B39" s="9"/>
      <c r="C39" s="7">
        <f>IF(AND(A39="",B39=""),"",IF(AND(A39&lt;&gt;"",C35=""),"",A39*C35+B39))</f>
        <v>4</v>
      </c>
    </row>
    <row r="40" spans="1:3" ht="12" customHeight="1">
      <c r="A40" s="16"/>
      <c r="B40" s="17"/>
      <c r="C40" s="18"/>
    </row>
    <row r="41" spans="1:3" ht="26.1" customHeight="1">
      <c r="A41" s="13" t="s">
        <v>43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34</v>
      </c>
      <c r="B43" s="9" t="s">
        <v>34</v>
      </c>
      <c r="C43" s="7">
        <v>1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4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paket miktarı</v>
      </c>
      <c r="B46" s="10" t="str">
        <f>IF(B43="","Temel birim miktarı",B43&amp;" miktarı")</f>
        <v>paket miktarı</v>
      </c>
      <c r="C46" s="3" t="s">
        <v>9</v>
      </c>
    </row>
    <row r="47" spans="1:3" ht="21" customHeight="1">
      <c r="A47" s="8">
        <v>4</v>
      </c>
      <c r="B47" s="9"/>
      <c r="C47" s="7">
        <f>IF(AND(A47="",B47=""),"",IF(AND(A47&lt;&gt;"",C43=""),"",A47*C43+B47))</f>
        <v>4</v>
      </c>
    </row>
    <row r="48" spans="1:3" ht="12" customHeight="1">
      <c r="A48" s="16"/>
      <c r="B48" s="17"/>
      <c r="C48" s="18"/>
    </row>
    <row r="49" spans="1:3" ht="26.1" customHeight="1">
      <c r="A49" s="13" t="s">
        <v>44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34</v>
      </c>
      <c r="B51" s="9" t="s">
        <v>5</v>
      </c>
      <c r="C51" s="7">
        <v>1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4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paket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>
        <v>5</v>
      </c>
      <c r="B55" s="9"/>
      <c r="C55" s="7">
        <f>IF(AND(A55="",B55=""),"",IF(AND(A55&lt;&gt;"",C51=""),"",A55*C51+B55))</f>
        <v>5</v>
      </c>
    </row>
    <row r="56" spans="1:3" ht="6.9" customHeight="1"/>
    <row r="57" spans="1:3" ht="16.8">
      <c r="A57" s="13" t="s">
        <v>45</v>
      </c>
      <c r="B57" s="14"/>
      <c r="C57" s="15"/>
    </row>
    <row r="58" spans="1:3">
      <c r="A58" s="2" t="s">
        <v>1</v>
      </c>
      <c r="B58" s="10" t="s">
        <v>2</v>
      </c>
      <c r="C58" s="3" t="s">
        <v>3</v>
      </c>
    </row>
    <row r="59" spans="1:3">
      <c r="A59" s="8" t="s">
        <v>4</v>
      </c>
      <c r="B59" s="9" t="s">
        <v>5</v>
      </c>
      <c r="C59" s="7">
        <v>5000</v>
      </c>
    </row>
    <row r="60" spans="1:3">
      <c r="A60" s="2" t="s">
        <v>6</v>
      </c>
      <c r="B60" s="10" t="s">
        <v>7</v>
      </c>
      <c r="C60" s="3" t="s">
        <v>8</v>
      </c>
    </row>
    <row r="61" spans="1:3">
      <c r="A61" s="4">
        <v>4</v>
      </c>
      <c r="B61" s="5">
        <v>10</v>
      </c>
      <c r="C61" s="6">
        <v>20</v>
      </c>
    </row>
    <row r="62" spans="1:3">
      <c r="A62" s="2" t="str">
        <f>IF(A59="","Toplu birim miktarı",A59&amp;" miktarı")</f>
        <v>koli miktarı</v>
      </c>
      <c r="B62" s="10" t="str">
        <f>IF(B59="","Temel birim miktarı",B59&amp;" miktarı")</f>
        <v>adet miktarı</v>
      </c>
      <c r="C62" s="3" t="s">
        <v>9</v>
      </c>
    </row>
    <row r="63" spans="1:3">
      <c r="A63" s="8">
        <v>1</v>
      </c>
      <c r="B63" s="9"/>
      <c r="C63" s="7">
        <f>IF(AND(A63="",B63=""),"",IF(AND(A63&lt;&gt;"",C59=""),"",A63*C59+B63))</f>
        <v>5000</v>
      </c>
    </row>
    <row r="65" spans="1:3" ht="16.8">
      <c r="A65" s="13" t="s">
        <v>46</v>
      </c>
      <c r="B65" s="14"/>
      <c r="C65" s="15"/>
    </row>
    <row r="66" spans="1:3">
      <c r="A66" s="2" t="s">
        <v>1</v>
      </c>
      <c r="B66" s="10" t="s">
        <v>2</v>
      </c>
      <c r="C66" s="3" t="s">
        <v>3</v>
      </c>
    </row>
    <row r="67" spans="1:3">
      <c r="A67" s="8" t="s">
        <v>34</v>
      </c>
      <c r="B67" s="9" t="s">
        <v>34</v>
      </c>
      <c r="C67" s="7">
        <v>1</v>
      </c>
    </row>
    <row r="68" spans="1:3">
      <c r="A68" s="2" t="s">
        <v>6</v>
      </c>
      <c r="B68" s="10" t="s">
        <v>7</v>
      </c>
      <c r="C68" s="3" t="s">
        <v>8</v>
      </c>
    </row>
    <row r="69" spans="1:3">
      <c r="A69" s="4">
        <v>4</v>
      </c>
      <c r="B69" s="5">
        <v>10</v>
      </c>
      <c r="C69" s="6">
        <v>20</v>
      </c>
    </row>
    <row r="70" spans="1:3">
      <c r="A70" s="2" t="str">
        <f>IF(A67="","Toplu birim miktarı",A67&amp;" miktarı")</f>
        <v>paket miktarı</v>
      </c>
      <c r="B70" s="10" t="str">
        <f>IF(B67="","Temel birim miktarı",B67&amp;" miktarı")</f>
        <v>paket miktarı</v>
      </c>
      <c r="C70" s="3" t="s">
        <v>9</v>
      </c>
    </row>
    <row r="71" spans="1:3">
      <c r="A71" s="8">
        <v>1</v>
      </c>
      <c r="B71" s="9"/>
      <c r="C71" s="7">
        <f>IF(AND(A71="",B71=""),"",IF(AND(A71&lt;&gt;"",C67=""),"",A71*C67+B71))</f>
        <v>1</v>
      </c>
    </row>
  </sheetData>
  <mergeCells count="15">
    <mergeCell ref="A1:C1"/>
    <mergeCell ref="A9:C9"/>
    <mergeCell ref="A17:C17"/>
    <mergeCell ref="A25:C25"/>
    <mergeCell ref="A33:C33"/>
    <mergeCell ref="A57:C57"/>
    <mergeCell ref="A65:C65"/>
    <mergeCell ref="A41:C41"/>
    <mergeCell ref="A49:C49"/>
    <mergeCell ref="A8:C8"/>
    <mergeCell ref="A16:C16"/>
    <mergeCell ref="A24:C24"/>
    <mergeCell ref="A32:C32"/>
    <mergeCell ref="A40:C40"/>
    <mergeCell ref="A48:C48"/>
  </mergeCells>
  <dataValidations count="3">
    <dataValidation type="list" sqref="A3 A51 A43 A35 A27 A19 A11 A59 A67" xr:uid="{00000000-0002-0000-0400-000000000000}">
      <formula1>"koli,kasa,paket,kutu,çuval,adet"</formula1>
    </dataValidation>
    <dataValidation type="list" sqref="B3 B51 B43 B35 B27 B19 B11 B59 B67" xr:uid="{00000000-0002-0000-0400-000001000000}">
      <formula1>"adet,şişe,litre,ml,kg,gr,metre,koli,paket,kutu"</formula1>
    </dataValidation>
    <dataValidation type="decimal" operator="greaterThan" sqref="C3 C51 C43 C35 C27 C19 C11 C59 C67" xr:uid="{00000000-0002-0000-0400-000002000000}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5"/>
  <sheetViews>
    <sheetView zoomScaleNormal="100" zoomScaleSheetLayoutView="100" workbookViewId="0">
      <selection activeCell="H10" sqref="H10"/>
    </sheetView>
  </sheetViews>
  <sheetFormatPr defaultRowHeight="13.8"/>
  <cols>
    <col min="1" max="3" width="19" customWidth="1"/>
  </cols>
  <sheetData>
    <row r="1" spans="1:3" ht="26.1" customHeight="1">
      <c r="A1" s="13" t="s">
        <v>47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4</v>
      </c>
      <c r="B3" s="9" t="s">
        <v>5</v>
      </c>
      <c r="C3" s="7">
        <v>15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0</v>
      </c>
      <c r="B7" s="9">
        <v>12</v>
      </c>
      <c r="C7" s="7">
        <f>IF(AND(A7="",B7=""),"",IF(AND(A7&lt;&gt;"",C3=""),"",A7*C3+B7))</f>
        <v>12</v>
      </c>
    </row>
    <row r="8" spans="1:3" ht="12" customHeight="1">
      <c r="A8" s="16"/>
      <c r="B8" s="17"/>
      <c r="C8" s="18"/>
    </row>
    <row r="9" spans="1:3" ht="26.1" customHeight="1">
      <c r="A9" s="13" t="s">
        <v>48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4</v>
      </c>
      <c r="B11" s="9" t="s">
        <v>5</v>
      </c>
      <c r="C11" s="7">
        <v>15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/>
      <c r="C15" s="7">
        <f>IF(AND(A15="",B15=""),"",IF(AND(A15&lt;&gt;"",C11=""),"",A15*C11+B15))</f>
        <v>15</v>
      </c>
    </row>
    <row r="16" spans="1:3" ht="12" customHeight="1">
      <c r="A16" s="16"/>
      <c r="B16" s="17"/>
      <c r="C16" s="18"/>
    </row>
    <row r="17" spans="1:3" ht="26.1" customHeight="1">
      <c r="A17" s="13" t="s">
        <v>49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4</v>
      </c>
      <c r="B19" s="9" t="s">
        <v>5</v>
      </c>
      <c r="C19" s="7">
        <v>15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koli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1</v>
      </c>
      <c r="B23" s="9"/>
      <c r="C23" s="7">
        <f>IF(AND(A23="",B23=""),"",IF(AND(A23&lt;&gt;"",C19=""),"",A23*C19+B23))</f>
        <v>15</v>
      </c>
    </row>
    <row r="24" spans="1:3" ht="12" customHeight="1">
      <c r="A24" s="16"/>
      <c r="B24" s="17"/>
      <c r="C24" s="18"/>
    </row>
    <row r="25" spans="1:3" ht="26.1" customHeight="1">
      <c r="A25" s="13" t="s">
        <v>50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15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/>
      <c r="C31" s="7">
        <f>IF(AND(A31="",B31=""),"",IF(AND(A31&lt;&gt;"",C27=""),"",A31*C27+B31))</f>
        <v>15</v>
      </c>
    </row>
    <row r="32" spans="1:3" ht="6.9" customHeight="1"/>
    <row r="33" spans="1:3" ht="16.8">
      <c r="A33" s="13" t="s">
        <v>51</v>
      </c>
      <c r="B33" s="14"/>
      <c r="C33" s="15"/>
    </row>
    <row r="34" spans="1:3">
      <c r="A34" s="2" t="s">
        <v>1</v>
      </c>
      <c r="B34" s="10" t="s">
        <v>2</v>
      </c>
      <c r="C34" s="3" t="s">
        <v>3</v>
      </c>
    </row>
    <row r="35" spans="1:3">
      <c r="A35" s="8" t="s">
        <v>4</v>
      </c>
      <c r="B35" s="9" t="s">
        <v>5</v>
      </c>
      <c r="C35" s="7">
        <v>15</v>
      </c>
    </row>
    <row r="36" spans="1:3">
      <c r="A36" s="2" t="s">
        <v>6</v>
      </c>
      <c r="B36" s="10" t="s">
        <v>7</v>
      </c>
      <c r="C36" s="3" t="s">
        <v>8</v>
      </c>
    </row>
    <row r="37" spans="1:3">
      <c r="A37" s="4">
        <v>5</v>
      </c>
      <c r="B37" s="5">
        <v>10</v>
      </c>
      <c r="C37" s="6">
        <v>20</v>
      </c>
    </row>
    <row r="38" spans="1:3">
      <c r="A38" s="2" t="str">
        <f>IF(A35="","Toplu birim miktarı",A35&amp;" miktarı")</f>
        <v>koli miktarı</v>
      </c>
      <c r="B38" s="10" t="str">
        <f>IF(B35="","Temel birim miktarı",B35&amp;" miktarı")</f>
        <v>adet miktarı</v>
      </c>
      <c r="C38" s="3" t="s">
        <v>9</v>
      </c>
    </row>
    <row r="39" spans="1:3">
      <c r="A39" s="8">
        <v>1</v>
      </c>
      <c r="B39" s="9"/>
      <c r="C39" s="7">
        <f>IF(AND(A39="",B39=""),"",IF(AND(A39&lt;&gt;"",C35=""),"",A39*C35+B39))</f>
        <v>15</v>
      </c>
    </row>
    <row r="41" spans="1:3" ht="16.8">
      <c r="A41" s="13" t="s">
        <v>52</v>
      </c>
      <c r="B41" s="14"/>
      <c r="C41" s="15"/>
    </row>
    <row r="42" spans="1:3">
      <c r="A42" s="2" t="s">
        <v>1</v>
      </c>
      <c r="B42" s="10" t="s">
        <v>2</v>
      </c>
      <c r="C42" s="3" t="s">
        <v>3</v>
      </c>
    </row>
    <row r="43" spans="1:3">
      <c r="A43" s="8" t="s">
        <v>4</v>
      </c>
      <c r="B43" s="9" t="s">
        <v>5</v>
      </c>
      <c r="C43" s="7">
        <v>15</v>
      </c>
    </row>
    <row r="44" spans="1:3">
      <c r="A44" s="2" t="s">
        <v>6</v>
      </c>
      <c r="B44" s="10" t="s">
        <v>7</v>
      </c>
      <c r="C44" s="3" t="s">
        <v>8</v>
      </c>
    </row>
    <row r="45" spans="1:3">
      <c r="A45" s="4">
        <v>5</v>
      </c>
      <c r="B45" s="5">
        <v>10</v>
      </c>
      <c r="C45" s="6">
        <v>20</v>
      </c>
    </row>
    <row r="46" spans="1:3">
      <c r="A46" s="2" t="str">
        <f>IF(A43="","Toplu birim miktarı",A43&amp;" miktarı")</f>
        <v>koli miktarı</v>
      </c>
      <c r="B46" s="10" t="str">
        <f>IF(B43="","Temel birim miktarı",B43&amp;" miktarı")</f>
        <v>adet miktarı</v>
      </c>
      <c r="C46" s="3" t="s">
        <v>9</v>
      </c>
    </row>
    <row r="47" spans="1:3">
      <c r="A47" s="8">
        <v>3</v>
      </c>
      <c r="B47" s="9"/>
      <c r="C47" s="7">
        <f>IF(AND(A47="",B47=""),"",IF(AND(A47&lt;&gt;"",C43=""),"",A47*C43+B47))</f>
        <v>45</v>
      </c>
    </row>
    <row r="49" spans="1:3" ht="16.8">
      <c r="A49" s="13" t="s">
        <v>53</v>
      </c>
      <c r="B49" s="14"/>
      <c r="C49" s="15"/>
    </row>
    <row r="50" spans="1:3">
      <c r="A50" s="2" t="s">
        <v>1</v>
      </c>
      <c r="B50" s="10" t="s">
        <v>2</v>
      </c>
      <c r="C50" s="3" t="s">
        <v>3</v>
      </c>
    </row>
    <row r="51" spans="1:3">
      <c r="A51" s="8" t="s">
        <v>4</v>
      </c>
      <c r="B51" s="9" t="s">
        <v>5</v>
      </c>
      <c r="C51" s="7">
        <v>15</v>
      </c>
    </row>
    <row r="52" spans="1:3">
      <c r="A52" s="2" t="s">
        <v>6</v>
      </c>
      <c r="B52" s="10" t="s">
        <v>7</v>
      </c>
      <c r="C52" s="3" t="s">
        <v>8</v>
      </c>
    </row>
    <row r="53" spans="1:3">
      <c r="A53" s="4">
        <v>5</v>
      </c>
      <c r="B53" s="5">
        <v>10</v>
      </c>
      <c r="C53" s="6">
        <v>20</v>
      </c>
    </row>
    <row r="54" spans="1:3">
      <c r="A54" s="2" t="str">
        <f>IF(A51="","Toplu birim miktarı",A51&amp;" miktarı")</f>
        <v>koli miktarı</v>
      </c>
      <c r="B54" s="10" t="str">
        <f>IF(B51="","Temel birim miktarı",B51&amp;" miktarı")</f>
        <v>adet miktarı</v>
      </c>
      <c r="C54" s="3" t="s">
        <v>9</v>
      </c>
    </row>
    <row r="55" spans="1:3">
      <c r="A55" s="8">
        <v>1</v>
      </c>
      <c r="B55" s="9"/>
      <c r="C55" s="7">
        <f>IF(AND(A55="",B55=""),"",IF(AND(A55&lt;&gt;"",C51=""),"",A55*C51+B55))</f>
        <v>15</v>
      </c>
    </row>
  </sheetData>
  <mergeCells count="10">
    <mergeCell ref="A33:C33"/>
    <mergeCell ref="A41:C41"/>
    <mergeCell ref="A49:C49"/>
    <mergeCell ref="A1:C1"/>
    <mergeCell ref="A9:C9"/>
    <mergeCell ref="A17:C17"/>
    <mergeCell ref="A25:C25"/>
    <mergeCell ref="A8:C8"/>
    <mergeCell ref="A16:C16"/>
    <mergeCell ref="A24:C24"/>
  </mergeCells>
  <dataValidations count="3">
    <dataValidation type="list" sqref="A3 A27 A19 A11 A35 A43 A51" xr:uid="{00000000-0002-0000-0500-000000000000}">
      <formula1>"koli,kasa,paket,kutu,çuval,adet"</formula1>
    </dataValidation>
    <dataValidation type="list" sqref="B3 B27 B19 B11 B35 B43 B51" xr:uid="{00000000-0002-0000-0500-000001000000}">
      <formula1>"adet,şişe,litre,ml,kg,gr,metre,koli,paket,kutu"</formula1>
    </dataValidation>
    <dataValidation type="decimal" operator="greaterThan" sqref="C3 C27 C19 C11 C35 C43 C51" xr:uid="{00000000-0002-0000-0500-000002000000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3"/>
  <sheetViews>
    <sheetView zoomScaleNormal="100" zoomScaleSheetLayoutView="100" workbookViewId="0">
      <selection activeCell="F82" sqref="F82"/>
    </sheetView>
  </sheetViews>
  <sheetFormatPr defaultRowHeight="13.8"/>
  <cols>
    <col min="1" max="3" width="19" customWidth="1"/>
  </cols>
  <sheetData>
    <row r="1" spans="1:3" ht="26.1" customHeight="1">
      <c r="A1" s="13" t="s">
        <v>54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55</v>
      </c>
      <c r="B3" s="9" t="s">
        <v>5</v>
      </c>
      <c r="C3" s="7">
        <v>9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kutu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3</v>
      </c>
      <c r="B7" s="9"/>
      <c r="C7" s="7">
        <f>IF(AND(A7="",B7=""),"",IF(AND(A7&lt;&gt;"",C3=""),"",A7*C3+B7))</f>
        <v>27</v>
      </c>
    </row>
    <row r="8" spans="1:3" ht="12" customHeight="1">
      <c r="A8" s="16"/>
      <c r="B8" s="17"/>
      <c r="C8" s="18"/>
    </row>
    <row r="9" spans="1:3" ht="26.1" customHeight="1">
      <c r="A9" s="13" t="s">
        <v>56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55</v>
      </c>
      <c r="B11" s="9" t="s">
        <v>5</v>
      </c>
      <c r="C11" s="7">
        <v>8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kutu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3</v>
      </c>
      <c r="B15" s="9"/>
      <c r="C15" s="7">
        <f>IF(AND(A15="",B15=""),"",IF(AND(A15&lt;&gt;"",C11=""),"",A15*C11+B15))</f>
        <v>24</v>
      </c>
    </row>
    <row r="16" spans="1:3" ht="12" customHeight="1">
      <c r="A16" s="16"/>
      <c r="B16" s="17"/>
      <c r="C16" s="18"/>
    </row>
    <row r="17" spans="1:3" ht="26.1" customHeight="1">
      <c r="A17" s="13" t="s">
        <v>57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55</v>
      </c>
      <c r="B19" s="9" t="s">
        <v>5</v>
      </c>
      <c r="C19" s="7">
        <v>12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kutu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3</v>
      </c>
      <c r="B23" s="9"/>
      <c r="C23" s="7">
        <f>IF(AND(A23="",B23=""),"",IF(AND(A23&lt;&gt;"",C19=""),"",A23*C19+B23))</f>
        <v>36</v>
      </c>
    </row>
    <row r="24" spans="1:3" ht="12" customHeight="1">
      <c r="A24" s="16"/>
      <c r="B24" s="17"/>
      <c r="C24" s="18"/>
    </row>
    <row r="25" spans="1:3" ht="26.1" customHeight="1">
      <c r="A25" s="13" t="s">
        <v>58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9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>
        <v>0</v>
      </c>
      <c r="C31" s="7">
        <f>IF(AND(A31="",B31=""),"",IF(AND(A31&lt;&gt;"",C27=""),"",A31*C27+B31))</f>
        <v>9</v>
      </c>
    </row>
    <row r="32" spans="1:3" ht="12" customHeight="1">
      <c r="A32" s="16"/>
      <c r="B32" s="17"/>
      <c r="C32" s="18"/>
    </row>
    <row r="33" spans="1:3" ht="26.1" customHeight="1">
      <c r="A33" s="13" t="s">
        <v>59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4</v>
      </c>
      <c r="B35" s="9" t="s">
        <v>5</v>
      </c>
      <c r="C35" s="7">
        <v>6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koli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>
        <v>2</v>
      </c>
      <c r="B39" s="9">
        <v>0</v>
      </c>
      <c r="C39" s="7">
        <f>IF(AND(A39="",B39=""),"",IF(AND(A39&lt;&gt;"",C35=""),"",A39*C35+B39))</f>
        <v>12</v>
      </c>
    </row>
    <row r="40" spans="1:3" ht="12" customHeight="1">
      <c r="A40" s="16"/>
      <c r="B40" s="17"/>
      <c r="C40" s="18"/>
    </row>
    <row r="41" spans="1:3" ht="26.1" customHeight="1">
      <c r="A41" s="13" t="s">
        <v>60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4</v>
      </c>
      <c r="B43" s="9" t="s">
        <v>5</v>
      </c>
      <c r="C43" s="7">
        <v>6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koli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>
        <v>1</v>
      </c>
      <c r="B47" s="9">
        <v>0</v>
      </c>
      <c r="C47" s="7">
        <f>IF(AND(A47="",B47=""),"",IF(AND(A47&lt;&gt;"",C43=""),"",A47*C43+B47))</f>
        <v>6</v>
      </c>
    </row>
    <row r="48" spans="1:3" ht="12" customHeight="1">
      <c r="A48" s="16"/>
      <c r="B48" s="17"/>
      <c r="C48" s="18"/>
    </row>
    <row r="49" spans="1:3" ht="26.1" customHeight="1">
      <c r="A49" s="13" t="s">
        <v>61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4</v>
      </c>
      <c r="B51" s="9" t="s">
        <v>5</v>
      </c>
      <c r="C51" s="7">
        <v>1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koli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>
        <v>4</v>
      </c>
      <c r="B55" s="9"/>
      <c r="C55" s="7">
        <f>IF(AND(A55="",B55=""),"",IF(AND(A55&lt;&gt;"",C51=""),"",A55*C51+B55))</f>
        <v>4</v>
      </c>
    </row>
    <row r="56" spans="1:3" ht="12" customHeight="1">
      <c r="A56" s="16"/>
      <c r="B56" s="17"/>
      <c r="C56" s="18"/>
    </row>
    <row r="57" spans="1:3" ht="26.1" customHeight="1">
      <c r="A57" s="13" t="s">
        <v>62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 t="s">
        <v>55</v>
      </c>
      <c r="B59" s="9" t="s">
        <v>5</v>
      </c>
      <c r="C59" s="7">
        <v>1</v>
      </c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kutu miktarı</v>
      </c>
      <c r="B62" s="10" t="str">
        <f>IF(B59="","Temel birim miktarı",B59&amp;" miktarı")</f>
        <v>adet miktarı</v>
      </c>
      <c r="C62" s="3" t="s">
        <v>9</v>
      </c>
    </row>
    <row r="63" spans="1:3" ht="21" customHeight="1">
      <c r="A63" s="8">
        <v>1</v>
      </c>
      <c r="B63" s="9"/>
      <c r="C63" s="7">
        <f>IF(AND(A63="",B63=""),"",IF(AND(A63&lt;&gt;"",C59=""),"",A63*C59+B63))</f>
        <v>1</v>
      </c>
    </row>
    <row r="64" spans="1:3" ht="6.9" customHeight="1"/>
    <row r="65" spans="1:3" ht="16.8">
      <c r="A65" s="13" t="s">
        <v>63</v>
      </c>
      <c r="B65" s="14"/>
      <c r="C65" s="15"/>
    </row>
    <row r="66" spans="1:3">
      <c r="A66" s="2" t="s">
        <v>1</v>
      </c>
      <c r="B66" s="10" t="s">
        <v>2</v>
      </c>
      <c r="C66" s="3" t="s">
        <v>3</v>
      </c>
    </row>
    <row r="67" spans="1:3">
      <c r="A67" s="8" t="s">
        <v>55</v>
      </c>
      <c r="B67" s="9" t="s">
        <v>5</v>
      </c>
      <c r="C67" s="7">
        <v>9</v>
      </c>
    </row>
    <row r="68" spans="1:3">
      <c r="A68" s="2" t="s">
        <v>6</v>
      </c>
      <c r="B68" s="10" t="s">
        <v>7</v>
      </c>
      <c r="C68" s="3" t="s">
        <v>8</v>
      </c>
    </row>
    <row r="69" spans="1:3">
      <c r="A69" s="4">
        <v>5</v>
      </c>
      <c r="B69" s="5">
        <v>10</v>
      </c>
      <c r="C69" s="6">
        <v>20</v>
      </c>
    </row>
    <row r="70" spans="1:3">
      <c r="A70" s="2" t="str">
        <f>IF(A67="","Toplu birim miktarı",A67&amp;" miktarı")</f>
        <v>kutu miktarı</v>
      </c>
      <c r="B70" s="10" t="str">
        <f>IF(B67="","Temel birim miktarı",B67&amp;" miktarı")</f>
        <v>adet miktarı</v>
      </c>
      <c r="C70" s="3" t="s">
        <v>9</v>
      </c>
    </row>
    <row r="71" spans="1:3">
      <c r="A71" s="8">
        <v>2</v>
      </c>
      <c r="B71" s="9"/>
      <c r="C71" s="7">
        <f>IF(AND(A71="",B71=""),"",IF(AND(A71&lt;&gt;"",C67=""),"",A71*C67+B71))</f>
        <v>18</v>
      </c>
    </row>
    <row r="73" spans="1:3" ht="16.8">
      <c r="A73" s="13" t="s">
        <v>64</v>
      </c>
      <c r="B73" s="14"/>
      <c r="C73" s="15"/>
    </row>
    <row r="74" spans="1:3">
      <c r="A74" s="2" t="s">
        <v>1</v>
      </c>
      <c r="B74" s="10" t="s">
        <v>2</v>
      </c>
      <c r="C74" s="3" t="s">
        <v>3</v>
      </c>
    </row>
    <row r="75" spans="1:3">
      <c r="A75" s="8" t="s">
        <v>55</v>
      </c>
      <c r="B75" s="9" t="s">
        <v>5</v>
      </c>
      <c r="C75" s="7">
        <v>9</v>
      </c>
    </row>
    <row r="76" spans="1:3">
      <c r="A76" s="2" t="s">
        <v>6</v>
      </c>
      <c r="B76" s="10" t="s">
        <v>7</v>
      </c>
      <c r="C76" s="3" t="s">
        <v>8</v>
      </c>
    </row>
    <row r="77" spans="1:3">
      <c r="A77" s="4">
        <v>5</v>
      </c>
      <c r="B77" s="5">
        <v>10</v>
      </c>
      <c r="C77" s="6">
        <v>20</v>
      </c>
    </row>
    <row r="78" spans="1:3">
      <c r="A78" s="2" t="str">
        <f>IF(A75="","Toplu birim miktarı",A75&amp;" miktarı")</f>
        <v>kutu miktarı</v>
      </c>
      <c r="B78" s="10" t="str">
        <f>IF(B75="","Temel birim miktarı",B75&amp;" miktarı")</f>
        <v>adet miktarı</v>
      </c>
      <c r="C78" s="3" t="s">
        <v>9</v>
      </c>
    </row>
    <row r="79" spans="1:3">
      <c r="A79" s="8">
        <v>1</v>
      </c>
      <c r="B79" s="9"/>
      <c r="C79" s="7">
        <f>IF(AND(A79="",B79=""),"",IF(AND(A79&lt;&gt;"",C75=""),"",A79*C75+B79))</f>
        <v>9</v>
      </c>
    </row>
    <row r="81" spans="1:3" ht="16.8">
      <c r="A81" s="13" t="s">
        <v>65</v>
      </c>
      <c r="B81" s="14"/>
      <c r="C81" s="15"/>
    </row>
    <row r="82" spans="1:3">
      <c r="A82" s="2" t="s">
        <v>1</v>
      </c>
      <c r="B82" s="10" t="s">
        <v>2</v>
      </c>
      <c r="C82" s="3" t="s">
        <v>3</v>
      </c>
    </row>
    <row r="83" spans="1:3">
      <c r="A83" s="8" t="s">
        <v>55</v>
      </c>
      <c r="B83" s="9" t="s">
        <v>5</v>
      </c>
      <c r="C83" s="7">
        <v>9</v>
      </c>
    </row>
    <row r="84" spans="1:3">
      <c r="A84" s="2" t="s">
        <v>6</v>
      </c>
      <c r="B84" s="10" t="s">
        <v>7</v>
      </c>
      <c r="C84" s="3" t="s">
        <v>8</v>
      </c>
    </row>
    <row r="85" spans="1:3">
      <c r="A85" s="4">
        <v>5</v>
      </c>
      <c r="B85" s="5">
        <v>10</v>
      </c>
      <c r="C85" s="6">
        <v>20</v>
      </c>
    </row>
    <row r="86" spans="1:3">
      <c r="A86" s="2" t="str">
        <f>IF(A83="","Toplu birim miktarı",A83&amp;" miktarı")</f>
        <v>kutu miktarı</v>
      </c>
      <c r="B86" s="10" t="str">
        <f>IF(B83="","Temel birim miktarı",B83&amp;" miktarı")</f>
        <v>adet miktarı</v>
      </c>
      <c r="C86" s="3" t="s">
        <v>9</v>
      </c>
    </row>
    <row r="87" spans="1:3">
      <c r="A87" s="8">
        <v>1</v>
      </c>
      <c r="B87" s="9"/>
      <c r="C87" s="7">
        <f>IF(AND(A87="",B87=""),"",IF(AND(A87&lt;&gt;"",C83=""),"",A87*C83+B87))</f>
        <v>9</v>
      </c>
    </row>
    <row r="89" spans="1:3" ht="16.8">
      <c r="A89" s="13" t="s">
        <v>66</v>
      </c>
      <c r="B89" s="14"/>
      <c r="C89" s="15"/>
    </row>
    <row r="90" spans="1:3">
      <c r="A90" s="2" t="s">
        <v>1</v>
      </c>
      <c r="B90" s="10" t="s">
        <v>2</v>
      </c>
      <c r="C90" s="3" t="s">
        <v>3</v>
      </c>
    </row>
    <row r="91" spans="1:3">
      <c r="A91" s="8" t="s">
        <v>55</v>
      </c>
      <c r="B91" s="9" t="s">
        <v>5</v>
      </c>
      <c r="C91" s="7">
        <v>10</v>
      </c>
    </row>
    <row r="92" spans="1:3">
      <c r="A92" s="2" t="s">
        <v>6</v>
      </c>
      <c r="B92" s="10" t="s">
        <v>7</v>
      </c>
      <c r="C92" s="3" t="s">
        <v>8</v>
      </c>
    </row>
    <row r="93" spans="1:3">
      <c r="A93" s="4">
        <v>5</v>
      </c>
      <c r="B93" s="5">
        <v>10</v>
      </c>
      <c r="C93" s="6">
        <v>20</v>
      </c>
    </row>
    <row r="94" spans="1:3">
      <c r="A94" s="2" t="str">
        <f>IF(A91="","Toplu birim miktarı",A91&amp;" miktarı")</f>
        <v>kutu miktarı</v>
      </c>
      <c r="B94" s="10" t="str">
        <f>IF(B91="","Temel birim miktarı",B91&amp;" miktarı")</f>
        <v>adet miktarı</v>
      </c>
      <c r="C94" s="3" t="s">
        <v>9</v>
      </c>
    </row>
    <row r="95" spans="1:3">
      <c r="A95" s="8">
        <v>2</v>
      </c>
      <c r="B95" s="9"/>
      <c r="C95" s="7">
        <f>IF(AND(A95="",B95=""),"",IF(AND(A95&lt;&gt;"",C91=""),"",A95*C91+B95))</f>
        <v>20</v>
      </c>
    </row>
    <row r="97" spans="1:3" ht="16.8">
      <c r="A97" s="13" t="s">
        <v>67</v>
      </c>
      <c r="B97" s="14"/>
      <c r="C97" s="15"/>
    </row>
    <row r="98" spans="1:3">
      <c r="A98" s="2" t="s">
        <v>1</v>
      </c>
      <c r="B98" s="10" t="s">
        <v>2</v>
      </c>
      <c r="C98" s="3" t="s">
        <v>3</v>
      </c>
    </row>
    <row r="99" spans="1:3">
      <c r="A99" s="8" t="s">
        <v>55</v>
      </c>
      <c r="B99" s="9" t="s">
        <v>5</v>
      </c>
      <c r="C99" s="7">
        <v>9</v>
      </c>
    </row>
    <row r="100" spans="1:3">
      <c r="A100" s="2" t="s">
        <v>6</v>
      </c>
      <c r="B100" s="10" t="s">
        <v>7</v>
      </c>
      <c r="C100" s="3" t="s">
        <v>8</v>
      </c>
    </row>
    <row r="101" spans="1:3">
      <c r="A101" s="4">
        <v>5</v>
      </c>
      <c r="B101" s="5">
        <v>10</v>
      </c>
      <c r="C101" s="6">
        <v>20</v>
      </c>
    </row>
    <row r="102" spans="1:3">
      <c r="A102" s="2" t="str">
        <f>IF(A99="","Toplu birim miktarı",A99&amp;" miktarı")</f>
        <v>kutu miktarı</v>
      </c>
      <c r="B102" s="10" t="str">
        <f>IF(B99="","Temel birim miktarı",B99&amp;" miktarı")</f>
        <v>adet miktarı</v>
      </c>
      <c r="C102" s="3" t="s">
        <v>9</v>
      </c>
    </row>
    <row r="103" spans="1:3">
      <c r="A103" s="8">
        <v>1</v>
      </c>
      <c r="B103" s="9"/>
      <c r="C103" s="7">
        <f>IF(AND(A103="",B103=""),"",IF(AND(A103&lt;&gt;"",C99=""),"",A103*C99+B103))</f>
        <v>9</v>
      </c>
    </row>
  </sheetData>
  <mergeCells count="20">
    <mergeCell ref="A65:C65"/>
    <mergeCell ref="A73:C73"/>
    <mergeCell ref="A81:C81"/>
    <mergeCell ref="A89:C89"/>
    <mergeCell ref="A97:C97"/>
    <mergeCell ref="A1:C1"/>
    <mergeCell ref="A9:C9"/>
    <mergeCell ref="A17:C17"/>
    <mergeCell ref="A25:C25"/>
    <mergeCell ref="A33:C33"/>
    <mergeCell ref="A41:C41"/>
    <mergeCell ref="A49:C49"/>
    <mergeCell ref="A57:C57"/>
    <mergeCell ref="A8:C8"/>
    <mergeCell ref="A16:C16"/>
    <mergeCell ref="A24:C24"/>
    <mergeCell ref="A32:C32"/>
    <mergeCell ref="A40:C40"/>
    <mergeCell ref="A48:C48"/>
    <mergeCell ref="A56:C56"/>
  </mergeCells>
  <dataValidations count="3">
    <dataValidation type="list" sqref="A3 A59 A51 A43 A35 A27 A19 A11 A67 A75 A83 A91 A99" xr:uid="{00000000-0002-0000-0600-000000000000}">
      <formula1>"koli,kasa,paket,kutu,çuval,adet"</formula1>
    </dataValidation>
    <dataValidation type="list" sqref="B3 B59 B51 B43 B35 B27 B19 B11 B67 B75 B83 B91 B99" xr:uid="{00000000-0002-0000-0600-000001000000}">
      <formula1>"adet,şişe,litre,ml,kg,gr,metre,koli,paket,kutu"</formula1>
    </dataValidation>
    <dataValidation type="decimal" operator="greaterThan" sqref="C3 C59 C51 C43 C35 C27 C19 C11 C67 C75 C83 C91 C99" xr:uid="{00000000-0002-0000-0600-000002000000}">
      <formula1>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2"/>
  <sheetViews>
    <sheetView zoomScaleNormal="100" zoomScaleSheetLayoutView="100" workbookViewId="0">
      <selection activeCell="B3" sqref="B3"/>
    </sheetView>
  </sheetViews>
  <sheetFormatPr defaultRowHeight="13.8"/>
  <cols>
    <col min="1" max="3" width="19" customWidth="1"/>
  </cols>
  <sheetData>
    <row r="1" spans="1:3" ht="26.1" customHeight="1">
      <c r="A1" s="13" t="s">
        <v>68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55</v>
      </c>
      <c r="B3" s="9" t="s">
        <v>5</v>
      </c>
      <c r="C3" s="7">
        <v>20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kutu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1</v>
      </c>
      <c r="B7" s="9"/>
      <c r="C7" s="7">
        <f>IF(AND(A7="",B7=""),"",IF(AND(A7&lt;&gt;"",C3=""),"",A7*C3+B7))</f>
        <v>20</v>
      </c>
    </row>
    <row r="8" spans="1:3" ht="12" customHeight="1">
      <c r="A8" s="16"/>
      <c r="B8" s="17"/>
      <c r="C8" s="18"/>
    </row>
    <row r="9" spans="1:3" ht="26.1" customHeight="1">
      <c r="A9" s="13" t="s">
        <v>69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55</v>
      </c>
      <c r="B11" s="9" t="s">
        <v>5</v>
      </c>
      <c r="C11" s="7">
        <v>20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kutu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/>
      <c r="C15" s="7">
        <f>IF(AND(A15="",B15=""),"",IF(AND(A15&lt;&gt;"",C11=""),"",A15*C11+B15))</f>
        <v>20</v>
      </c>
    </row>
    <row r="16" spans="1:3" ht="12" customHeight="1">
      <c r="A16" s="16"/>
      <c r="B16" s="17"/>
      <c r="C16" s="18"/>
    </row>
    <row r="17" spans="1:3" ht="26.1" customHeight="1">
      <c r="A17" s="13"/>
      <c r="B17" s="14"/>
      <c r="C17" s="15"/>
    </row>
    <row r="18" spans="1:3" ht="20.100000000000001" customHeight="1">
      <c r="A18" s="2"/>
      <c r="B18" s="10"/>
      <c r="C18" s="3"/>
    </row>
    <row r="19" spans="1:3" ht="21" customHeight="1">
      <c r="A19" s="8"/>
      <c r="B19" s="9"/>
      <c r="C19" s="7"/>
    </row>
    <row r="20" spans="1:3" ht="20.100000000000001" customHeight="1">
      <c r="A20" s="2"/>
      <c r="B20" s="10"/>
      <c r="C20" s="3"/>
    </row>
    <row r="21" spans="1:3" ht="21" customHeight="1">
      <c r="A21" s="4"/>
      <c r="B21" s="5"/>
      <c r="C21" s="6"/>
    </row>
    <row r="22" spans="1:3" ht="20.100000000000001" customHeight="1">
      <c r="A22" s="2"/>
      <c r="B22" s="10"/>
      <c r="C22" s="3"/>
    </row>
    <row r="23" spans="1:3" ht="21" customHeight="1">
      <c r="A23" s="12"/>
      <c r="B23" s="12"/>
      <c r="C23" s="12"/>
    </row>
    <row r="24" spans="1:3" ht="12" customHeight="1"/>
    <row r="25" spans="1:3" ht="26.1" customHeight="1">
      <c r="A25" s="13" t="s">
        <v>70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55</v>
      </c>
      <c r="B27" s="9" t="s">
        <v>5</v>
      </c>
      <c r="C27" s="7">
        <v>20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kutu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/>
      <c r="B31" s="9"/>
      <c r="C31" s="7"/>
    </row>
    <row r="32" spans="1:3" ht="12" customHeight="1">
      <c r="A32" s="16"/>
      <c r="B32" s="17"/>
      <c r="C32" s="18"/>
    </row>
    <row r="33" spans="1:3" ht="26.1" customHeight="1">
      <c r="A33" s="13" t="s">
        <v>71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55</v>
      </c>
      <c r="B35" s="9" t="s">
        <v>5</v>
      </c>
      <c r="C35" s="7">
        <v>20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kutu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/>
      <c r="B39" s="9"/>
      <c r="C39" s="7"/>
    </row>
    <row r="40" spans="1:3" ht="12" customHeight="1">
      <c r="A40" s="16"/>
      <c r="B40" s="17"/>
      <c r="C40" s="18"/>
    </row>
    <row r="41" spans="1:3" ht="26.1" customHeight="1">
      <c r="A41" s="13" t="s">
        <v>72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55</v>
      </c>
      <c r="B43" s="9" t="s">
        <v>5</v>
      </c>
      <c r="C43" s="7">
        <v>20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kutu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/>
      <c r="B47" s="9"/>
      <c r="C47" s="7"/>
    </row>
    <row r="48" spans="1:3" ht="12" customHeight="1">
      <c r="A48" s="16"/>
      <c r="B48" s="17"/>
      <c r="C48" s="18"/>
    </row>
    <row r="49" spans="1:3" ht="26.1" customHeight="1">
      <c r="A49" s="13" t="s">
        <v>73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55</v>
      </c>
      <c r="B51" s="9" t="s">
        <v>5</v>
      </c>
      <c r="C51" s="7">
        <v>20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kutu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/>
      <c r="B55" s="9"/>
      <c r="C55" s="7"/>
    </row>
    <row r="56" spans="1:3" ht="12" customHeight="1">
      <c r="A56" s="16"/>
      <c r="B56" s="17"/>
      <c r="C56" s="18"/>
    </row>
    <row r="57" spans="1:3" ht="26.1" customHeight="1">
      <c r="A57" s="19" t="s">
        <v>74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 t="s">
        <v>55</v>
      </c>
      <c r="B59" s="9" t="s">
        <v>5</v>
      </c>
      <c r="C59" s="7">
        <v>20</v>
      </c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kutu miktarı</v>
      </c>
      <c r="B62" s="10" t="str">
        <f>IF(B59="","Temel birim miktarı",B59&amp;" miktarı")</f>
        <v>adet miktarı</v>
      </c>
      <c r="C62" s="3" t="s">
        <v>9</v>
      </c>
    </row>
    <row r="63" spans="1:3" ht="21" customHeight="1">
      <c r="A63" s="8"/>
      <c r="B63" s="9"/>
      <c r="C63" s="7"/>
    </row>
    <row r="64" spans="1:3" ht="12" customHeight="1">
      <c r="A64" s="16"/>
      <c r="B64" s="17"/>
      <c r="C64" s="18"/>
    </row>
    <row r="65" spans="1:3" ht="26.1" customHeight="1">
      <c r="A65" s="19" t="s">
        <v>75</v>
      </c>
      <c r="B65" s="14"/>
      <c r="C65" s="15"/>
    </row>
    <row r="66" spans="1:3" ht="20.100000000000001" customHeight="1">
      <c r="A66" s="2" t="s">
        <v>1</v>
      </c>
      <c r="B66" s="10" t="s">
        <v>2</v>
      </c>
      <c r="C66" s="3" t="s">
        <v>3</v>
      </c>
    </row>
    <row r="67" spans="1:3" ht="21" customHeight="1">
      <c r="A67" s="8" t="s">
        <v>55</v>
      </c>
      <c r="B67" s="9" t="s">
        <v>5</v>
      </c>
      <c r="C67" s="7">
        <v>20</v>
      </c>
    </row>
    <row r="68" spans="1:3" ht="20.100000000000001" customHeight="1">
      <c r="A68" s="2" t="s">
        <v>6</v>
      </c>
      <c r="B68" s="10" t="s">
        <v>7</v>
      </c>
      <c r="C68" s="3" t="s">
        <v>8</v>
      </c>
    </row>
    <row r="69" spans="1:3" ht="21" customHeight="1">
      <c r="A69" s="4">
        <v>5</v>
      </c>
      <c r="B69" s="5">
        <v>10</v>
      </c>
      <c r="C69" s="6">
        <v>20</v>
      </c>
    </row>
    <row r="70" spans="1:3" ht="20.100000000000001" customHeight="1">
      <c r="A70" s="2" t="str">
        <f>IF(A67="","Toplu birim miktarı",A67&amp;" miktarı")</f>
        <v>kutu miktarı</v>
      </c>
      <c r="B70" s="10" t="str">
        <f>IF(B67="","Temel birim miktarı",B67&amp;" miktarı")</f>
        <v>adet miktarı</v>
      </c>
      <c r="C70" s="3" t="s">
        <v>9</v>
      </c>
    </row>
    <row r="71" spans="1:3" ht="21" customHeight="1">
      <c r="A71" s="8"/>
      <c r="B71" s="9"/>
      <c r="C71" s="7"/>
    </row>
    <row r="72" spans="1:3" ht="6.9" customHeight="1"/>
  </sheetData>
  <mergeCells count="16">
    <mergeCell ref="A1:C1"/>
    <mergeCell ref="A9:C9"/>
    <mergeCell ref="A17:C17"/>
    <mergeCell ref="A25:C25"/>
    <mergeCell ref="A33:C33"/>
    <mergeCell ref="A41:C41"/>
    <mergeCell ref="A49:C49"/>
    <mergeCell ref="A57:C57"/>
    <mergeCell ref="A65:C65"/>
    <mergeCell ref="A8:C8"/>
    <mergeCell ref="A16:C16"/>
    <mergeCell ref="A32:C32"/>
    <mergeCell ref="A40:C40"/>
    <mergeCell ref="A48:C48"/>
    <mergeCell ref="A56:C56"/>
    <mergeCell ref="A64:C64"/>
  </mergeCells>
  <dataValidations count="3">
    <dataValidation type="list" sqref="A3 A67 A59 A51 A43 A35 A27 A19 A11" xr:uid="{00000000-0002-0000-0700-000000000000}">
      <formula1>"koli,kasa,paket,kutu,çuval,adet"</formula1>
    </dataValidation>
    <dataValidation type="list" sqref="B3 B67 B59 B51 B43 B35 B27 B19 B11" xr:uid="{00000000-0002-0000-0700-000001000000}">
      <formula1>"adet,şişe,litre,ml,kg,gr,metre,koli,paket,kutu"</formula1>
    </dataValidation>
    <dataValidation type="decimal" operator="greaterThan" sqref="C3 C67 C59 C51 C43 C35 C27 C19 C11" xr:uid="{00000000-0002-0000-0700-000002000000}">
      <formula1>0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5"/>
  <sheetViews>
    <sheetView topLeftCell="A201" zoomScaleNormal="100" zoomScaleSheetLayoutView="100" workbookViewId="0">
      <selection activeCell="A209" sqref="A209:XFD209"/>
    </sheetView>
  </sheetViews>
  <sheetFormatPr defaultRowHeight="13.8"/>
  <cols>
    <col min="1" max="3" width="19" customWidth="1"/>
  </cols>
  <sheetData>
    <row r="1" spans="1:3" ht="26.1" customHeight="1">
      <c r="A1" s="13" t="s">
        <v>76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55</v>
      </c>
      <c r="B3" s="9" t="s">
        <v>5</v>
      </c>
      <c r="C3" s="7">
        <v>12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kutu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1</v>
      </c>
      <c r="B7" s="9">
        <v>4</v>
      </c>
      <c r="C7" s="7">
        <f>IF(AND(A7="",B7=""),"",IF(AND(A7&lt;&gt;"",C3=""),"",A7*C3+B7))</f>
        <v>16</v>
      </c>
    </row>
    <row r="8" spans="1:3" ht="12" customHeight="1">
      <c r="A8" s="16"/>
      <c r="B8" s="17"/>
      <c r="C8" s="18"/>
    </row>
    <row r="9" spans="1:3" ht="26.1" customHeight="1">
      <c r="A9" s="13" t="s">
        <v>77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55</v>
      </c>
      <c r="B11" s="9" t="s">
        <v>5</v>
      </c>
      <c r="C11" s="7">
        <v>12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kutu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>
        <v>1</v>
      </c>
      <c r="C15" s="7">
        <f>IF(AND(A15="",B15=""),"",IF(AND(A15&lt;&gt;"",C11=""),"",A15*C11+B15))</f>
        <v>13</v>
      </c>
    </row>
    <row r="16" spans="1:3" ht="12" customHeight="1">
      <c r="A16" s="16"/>
      <c r="B16" s="17"/>
      <c r="C16" s="18"/>
    </row>
    <row r="17" spans="1:3" ht="26.1" customHeight="1">
      <c r="A17" s="13" t="s">
        <v>78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55</v>
      </c>
      <c r="B19" s="9" t="s">
        <v>5</v>
      </c>
      <c r="C19" s="7">
        <v>12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kutu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1</v>
      </c>
      <c r="B23" s="9">
        <v>8</v>
      </c>
      <c r="C23" s="7">
        <f>IF(AND(A23="",B23=""),"",IF(AND(A23&lt;&gt;"",C19=""),"",A23*C19+B23))</f>
        <v>20</v>
      </c>
    </row>
    <row r="24" spans="1:3" ht="12" customHeight="1">
      <c r="A24" s="16"/>
      <c r="B24" s="17"/>
      <c r="C24" s="18"/>
    </row>
    <row r="25" spans="1:3" ht="26.1" customHeight="1">
      <c r="A25" s="13" t="s">
        <v>79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4</v>
      </c>
      <c r="B27" s="9" t="s">
        <v>5</v>
      </c>
      <c r="C27" s="7">
        <v>12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koli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>
        <v>2</v>
      </c>
      <c r="C31" s="7">
        <f>IF(AND(A31="",B31=""),"",IF(AND(A31&lt;&gt;"",C27=""),"",A31*C27+B31))</f>
        <v>14</v>
      </c>
    </row>
    <row r="32" spans="1:3" ht="12" customHeight="1">
      <c r="A32" s="16"/>
      <c r="B32" s="17"/>
      <c r="C32" s="18"/>
    </row>
    <row r="33" spans="1:3" ht="26.1" customHeight="1">
      <c r="A33" s="13" t="s">
        <v>80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55</v>
      </c>
      <c r="B35" s="9" t="s">
        <v>5</v>
      </c>
      <c r="C35" s="7">
        <v>12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kutu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/>
      <c r="B39" s="9">
        <v>2</v>
      </c>
      <c r="C39" s="7">
        <f>IF(AND(A39="",B39=""),"",IF(AND(A39&lt;&gt;"",C35=""),"",A39*C35+B39))</f>
        <v>2</v>
      </c>
    </row>
    <row r="40" spans="1:3" ht="12" customHeight="1">
      <c r="A40" s="16"/>
      <c r="B40" s="17"/>
      <c r="C40" s="18"/>
    </row>
    <row r="41" spans="1:3" ht="26.1" customHeight="1">
      <c r="A41" s="13" t="s">
        <v>81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55</v>
      </c>
      <c r="B43" s="9" t="s">
        <v>5</v>
      </c>
      <c r="C43" s="7">
        <v>12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kutu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>
        <v>1</v>
      </c>
      <c r="B47" s="9">
        <v>3</v>
      </c>
      <c r="C47" s="7">
        <f>IF(AND(A47="",B47=""),"",IF(AND(A47&lt;&gt;"",C43=""),"",A47*C43+B47))</f>
        <v>15</v>
      </c>
    </row>
    <row r="48" spans="1:3" ht="12" customHeight="1">
      <c r="A48" s="16"/>
      <c r="B48" s="17"/>
      <c r="C48" s="18"/>
    </row>
    <row r="49" spans="1:3" ht="26.1" customHeight="1">
      <c r="A49" s="13" t="s">
        <v>82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55</v>
      </c>
      <c r="B51" s="9" t="s">
        <v>5</v>
      </c>
      <c r="C51" s="7">
        <v>12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kutu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/>
      <c r="B55" s="9">
        <v>3</v>
      </c>
      <c r="C55" s="7">
        <f>IF(AND(A55="",B55=""),"",IF(AND(A55&lt;&gt;"",C51=""),"",A55*C51+B55))</f>
        <v>3</v>
      </c>
    </row>
    <row r="56" spans="1:3" ht="12" customHeight="1">
      <c r="A56" s="16"/>
      <c r="B56" s="17"/>
      <c r="C56" s="18"/>
    </row>
    <row r="57" spans="1:3" ht="26.1" customHeight="1">
      <c r="A57" s="13" t="s">
        <v>83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 t="s">
        <v>55</v>
      </c>
      <c r="B59" s="9" t="s">
        <v>5</v>
      </c>
      <c r="C59" s="7">
        <v>12</v>
      </c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kutu miktarı</v>
      </c>
      <c r="B62" s="10" t="str">
        <f>IF(B59="","Temel birim miktarı",B59&amp;" miktarı")</f>
        <v>adet miktarı</v>
      </c>
      <c r="C62" s="3" t="s">
        <v>9</v>
      </c>
    </row>
    <row r="63" spans="1:3" ht="21" customHeight="1">
      <c r="A63" s="8"/>
      <c r="B63" s="9">
        <v>5</v>
      </c>
      <c r="C63" s="7">
        <f>IF(AND(A63="",B63=""),"",IF(AND(A63&lt;&gt;"",C59=""),"",A63*C59+B63))</f>
        <v>5</v>
      </c>
    </row>
    <row r="64" spans="1:3" ht="12" customHeight="1">
      <c r="A64" s="16"/>
      <c r="B64" s="17"/>
      <c r="C64" s="18"/>
    </row>
    <row r="65" spans="1:3" ht="26.1" customHeight="1">
      <c r="A65" s="13" t="s">
        <v>84</v>
      </c>
      <c r="B65" s="14"/>
      <c r="C65" s="15"/>
    </row>
    <row r="66" spans="1:3" ht="20.100000000000001" customHeight="1">
      <c r="A66" s="2" t="s">
        <v>1</v>
      </c>
      <c r="B66" s="10" t="s">
        <v>2</v>
      </c>
      <c r="C66" s="3" t="s">
        <v>3</v>
      </c>
    </row>
    <row r="67" spans="1:3" ht="21" customHeight="1">
      <c r="A67" s="8" t="s">
        <v>55</v>
      </c>
      <c r="B67" s="9" t="s">
        <v>5</v>
      </c>
      <c r="C67" s="7">
        <v>12</v>
      </c>
    </row>
    <row r="68" spans="1:3" ht="20.100000000000001" customHeight="1">
      <c r="A68" s="2" t="s">
        <v>6</v>
      </c>
      <c r="B68" s="10" t="s">
        <v>7</v>
      </c>
      <c r="C68" s="3" t="s">
        <v>8</v>
      </c>
    </row>
    <row r="69" spans="1:3" ht="21" customHeight="1">
      <c r="A69" s="4">
        <v>5</v>
      </c>
      <c r="B69" s="5">
        <v>10</v>
      </c>
      <c r="C69" s="6">
        <v>20</v>
      </c>
    </row>
    <row r="70" spans="1:3" ht="20.100000000000001" customHeight="1">
      <c r="A70" s="2" t="str">
        <f>IF(A67="","Toplu birim miktarı",A67&amp;" miktarı")</f>
        <v>kutu miktarı</v>
      </c>
      <c r="B70" s="10" t="str">
        <f>IF(B67="","Temel birim miktarı",B67&amp;" miktarı")</f>
        <v>adet miktarı</v>
      </c>
      <c r="C70" s="3" t="s">
        <v>9</v>
      </c>
    </row>
    <row r="71" spans="1:3" ht="21" customHeight="1">
      <c r="A71" s="8">
        <v>1</v>
      </c>
      <c r="B71" s="9">
        <v>1</v>
      </c>
      <c r="C71" s="7">
        <f>IF(AND(A71="",B71=""),"",IF(AND(A71&lt;&gt;"",C67=""),"",A71*C67+B71))</f>
        <v>13</v>
      </c>
    </row>
    <row r="72" spans="1:3" ht="12" customHeight="1">
      <c r="A72" s="16"/>
      <c r="B72" s="17"/>
      <c r="C72" s="18"/>
    </row>
    <row r="73" spans="1:3" ht="26.1" customHeight="1">
      <c r="A73" s="13" t="s">
        <v>85</v>
      </c>
      <c r="B73" s="14"/>
      <c r="C73" s="15"/>
    </row>
    <row r="74" spans="1:3" ht="20.100000000000001" customHeight="1">
      <c r="A74" s="2" t="s">
        <v>1</v>
      </c>
      <c r="B74" s="10" t="s">
        <v>2</v>
      </c>
      <c r="C74" s="3" t="s">
        <v>3</v>
      </c>
    </row>
    <row r="75" spans="1:3" ht="21" customHeight="1">
      <c r="A75" s="8" t="s">
        <v>55</v>
      </c>
      <c r="B75" s="9" t="s">
        <v>5</v>
      </c>
      <c r="C75" s="7">
        <v>12</v>
      </c>
    </row>
    <row r="76" spans="1:3" ht="20.100000000000001" customHeight="1">
      <c r="A76" s="2" t="s">
        <v>6</v>
      </c>
      <c r="B76" s="10" t="s">
        <v>7</v>
      </c>
      <c r="C76" s="3" t="s">
        <v>8</v>
      </c>
    </row>
    <row r="77" spans="1:3" ht="21" customHeight="1">
      <c r="A77" s="4">
        <v>5</v>
      </c>
      <c r="B77" s="5">
        <v>10</v>
      </c>
      <c r="C77" s="6">
        <v>20</v>
      </c>
    </row>
    <row r="78" spans="1:3" ht="20.100000000000001" customHeight="1">
      <c r="A78" s="2" t="str">
        <f>IF(A75="","Toplu birim miktarı",A75&amp;" miktarı")</f>
        <v>kutu miktarı</v>
      </c>
      <c r="B78" s="10" t="str">
        <f>IF(B75="","Temel birim miktarı",B75&amp;" miktarı")</f>
        <v>adet miktarı</v>
      </c>
      <c r="C78" s="3" t="s">
        <v>9</v>
      </c>
    </row>
    <row r="79" spans="1:3" ht="21" customHeight="1">
      <c r="A79" s="8"/>
      <c r="B79" s="9">
        <v>4</v>
      </c>
      <c r="C79" s="7">
        <f>IF(AND(A79="",B79=""),"",IF(AND(A79&lt;&gt;"",C75=""),"",A79*C75+B79))</f>
        <v>4</v>
      </c>
    </row>
    <row r="80" spans="1:3" ht="12" customHeight="1">
      <c r="A80" s="16"/>
      <c r="B80" s="17"/>
      <c r="C80" s="18"/>
    </row>
    <row r="81" spans="1:3" ht="26.1" customHeight="1">
      <c r="A81" s="13" t="s">
        <v>86</v>
      </c>
      <c r="B81" s="14"/>
      <c r="C81" s="15"/>
    </row>
    <row r="82" spans="1:3" ht="20.100000000000001" customHeight="1">
      <c r="A82" s="2" t="s">
        <v>1</v>
      </c>
      <c r="B82" s="10" t="s">
        <v>2</v>
      </c>
      <c r="C82" s="3" t="s">
        <v>3</v>
      </c>
    </row>
    <row r="83" spans="1:3" ht="21" customHeight="1">
      <c r="A83" s="8" t="s">
        <v>55</v>
      </c>
      <c r="B83" s="9" t="s">
        <v>5</v>
      </c>
      <c r="C83" s="7">
        <v>12</v>
      </c>
    </row>
    <row r="84" spans="1:3" ht="20.100000000000001" customHeight="1">
      <c r="A84" s="2" t="s">
        <v>6</v>
      </c>
      <c r="B84" s="10" t="s">
        <v>7</v>
      </c>
      <c r="C84" s="3" t="s">
        <v>8</v>
      </c>
    </row>
    <row r="85" spans="1:3" ht="21" customHeight="1">
      <c r="A85" s="4">
        <v>5</v>
      </c>
      <c r="B85" s="5">
        <v>10</v>
      </c>
      <c r="C85" s="6">
        <v>20</v>
      </c>
    </row>
    <row r="86" spans="1:3" ht="20.100000000000001" customHeight="1">
      <c r="A86" s="2" t="str">
        <f>IF(A83="","Toplu birim miktarı",A83&amp;" miktarı")</f>
        <v>kutu miktarı</v>
      </c>
      <c r="B86" s="10" t="str">
        <f>IF(B83="","Temel birim miktarı",B83&amp;" miktarı")</f>
        <v>adet miktarı</v>
      </c>
      <c r="C86" s="3" t="s">
        <v>9</v>
      </c>
    </row>
    <row r="87" spans="1:3" ht="21" customHeight="1">
      <c r="A87" s="8"/>
      <c r="B87" s="9">
        <v>5</v>
      </c>
      <c r="C87" s="7">
        <f>IF(AND(A87="",B87=""),"",IF(AND(A87&lt;&gt;"",C83=""),"",A87*C83+B87))</f>
        <v>5</v>
      </c>
    </row>
    <row r="88" spans="1:3" ht="12" customHeight="1">
      <c r="A88" s="16"/>
      <c r="B88" s="17"/>
      <c r="C88" s="18"/>
    </row>
    <row r="89" spans="1:3" ht="26.1" customHeight="1">
      <c r="A89" s="13" t="s">
        <v>87</v>
      </c>
      <c r="B89" s="14"/>
      <c r="C89" s="15"/>
    </row>
    <row r="90" spans="1:3" ht="20.100000000000001" customHeight="1">
      <c r="A90" s="2" t="s">
        <v>1</v>
      </c>
      <c r="B90" s="10" t="s">
        <v>2</v>
      </c>
      <c r="C90" s="3" t="s">
        <v>3</v>
      </c>
    </row>
    <row r="91" spans="1:3" ht="21" customHeight="1">
      <c r="A91" s="8" t="s">
        <v>55</v>
      </c>
      <c r="B91" s="9" t="s">
        <v>5</v>
      </c>
      <c r="C91" s="7">
        <v>12</v>
      </c>
    </row>
    <row r="92" spans="1:3" ht="20.100000000000001" customHeight="1">
      <c r="A92" s="2" t="s">
        <v>6</v>
      </c>
      <c r="B92" s="10" t="s">
        <v>7</v>
      </c>
      <c r="C92" s="3" t="s">
        <v>8</v>
      </c>
    </row>
    <row r="93" spans="1:3" ht="21" customHeight="1">
      <c r="A93" s="4">
        <v>5</v>
      </c>
      <c r="B93" s="5">
        <v>10</v>
      </c>
      <c r="C93" s="6">
        <v>20</v>
      </c>
    </row>
    <row r="94" spans="1:3" ht="20.100000000000001" customHeight="1">
      <c r="A94" s="2" t="str">
        <f>IF(A91="","Toplu birim miktarı",A91&amp;" miktarı")</f>
        <v>kutu miktarı</v>
      </c>
      <c r="B94" s="10" t="str">
        <f>IF(B91="","Temel birim miktarı",B91&amp;" miktarı")</f>
        <v>adet miktarı</v>
      </c>
      <c r="C94" s="3" t="s">
        <v>9</v>
      </c>
    </row>
    <row r="95" spans="1:3" ht="21" customHeight="1">
      <c r="A95" s="8"/>
      <c r="B95" s="9">
        <v>2</v>
      </c>
      <c r="C95" s="7">
        <f>IF(AND(A95="",B95=""),"",IF(AND(A95&lt;&gt;"",C91=""),"",A95*C91+B95))</f>
        <v>2</v>
      </c>
    </row>
    <row r="96" spans="1:3" ht="12" customHeight="1">
      <c r="A96" s="16"/>
      <c r="B96" s="17"/>
      <c r="C96" s="18"/>
    </row>
    <row r="97" spans="1:3" ht="26.1" customHeight="1">
      <c r="A97" s="13" t="s">
        <v>88</v>
      </c>
      <c r="B97" s="14"/>
      <c r="C97" s="15"/>
    </row>
    <row r="98" spans="1:3" ht="20.100000000000001" customHeight="1">
      <c r="A98" s="2" t="s">
        <v>1</v>
      </c>
      <c r="B98" s="10" t="s">
        <v>2</v>
      </c>
      <c r="C98" s="3" t="s">
        <v>3</v>
      </c>
    </row>
    <row r="99" spans="1:3" ht="21" customHeight="1">
      <c r="A99" s="8" t="s">
        <v>55</v>
      </c>
      <c r="B99" s="9" t="s">
        <v>5</v>
      </c>
      <c r="C99" s="7">
        <v>12</v>
      </c>
    </row>
    <row r="100" spans="1:3" ht="20.100000000000001" customHeight="1">
      <c r="A100" s="2" t="s">
        <v>6</v>
      </c>
      <c r="B100" s="10" t="s">
        <v>7</v>
      </c>
      <c r="C100" s="3" t="s">
        <v>8</v>
      </c>
    </row>
    <row r="101" spans="1:3" ht="21" customHeight="1">
      <c r="A101" s="4">
        <v>5</v>
      </c>
      <c r="B101" s="5">
        <v>10</v>
      </c>
      <c r="C101" s="6">
        <v>20</v>
      </c>
    </row>
    <row r="102" spans="1:3" ht="20.100000000000001" customHeight="1">
      <c r="A102" s="2" t="str">
        <f>IF(A99="","Toplu birim miktarı",A99&amp;" miktarı")</f>
        <v>kutu miktarı</v>
      </c>
      <c r="B102" s="10" t="str">
        <f>IF(B99="","Temel birim miktarı",B99&amp;" miktarı")</f>
        <v>adet miktarı</v>
      </c>
      <c r="C102" s="3" t="s">
        <v>9</v>
      </c>
    </row>
    <row r="103" spans="1:3" ht="21" customHeight="1">
      <c r="A103" s="8"/>
      <c r="B103" s="9">
        <v>4</v>
      </c>
      <c r="C103" s="7">
        <f>IF(AND(A103="",B103=""),"",IF(AND(A103&lt;&gt;"",C99=""),"",A103*C99+B103))</f>
        <v>4</v>
      </c>
    </row>
    <row r="104" spans="1:3" ht="12" customHeight="1">
      <c r="A104" s="16"/>
      <c r="B104" s="17"/>
      <c r="C104" s="18"/>
    </row>
    <row r="105" spans="1:3" ht="26.1" customHeight="1">
      <c r="A105" s="13" t="s">
        <v>89</v>
      </c>
      <c r="B105" s="14"/>
      <c r="C105" s="15"/>
    </row>
    <row r="106" spans="1:3" ht="20.100000000000001" customHeight="1">
      <c r="A106" s="2" t="s">
        <v>1</v>
      </c>
      <c r="B106" s="10" t="s">
        <v>2</v>
      </c>
      <c r="C106" s="3" t="s">
        <v>3</v>
      </c>
    </row>
    <row r="107" spans="1:3" ht="21" customHeight="1">
      <c r="A107" s="8" t="s">
        <v>55</v>
      </c>
      <c r="B107" s="9" t="s">
        <v>5</v>
      </c>
      <c r="C107" s="7">
        <v>12</v>
      </c>
    </row>
    <row r="108" spans="1:3" ht="20.100000000000001" customHeight="1">
      <c r="A108" s="2" t="s">
        <v>6</v>
      </c>
      <c r="B108" s="10" t="s">
        <v>7</v>
      </c>
      <c r="C108" s="3" t="s">
        <v>8</v>
      </c>
    </row>
    <row r="109" spans="1:3" ht="21" customHeight="1">
      <c r="A109" s="4">
        <v>5</v>
      </c>
      <c r="B109" s="5">
        <v>10</v>
      </c>
      <c r="C109" s="6">
        <v>20</v>
      </c>
    </row>
    <row r="110" spans="1:3" ht="20.100000000000001" customHeight="1">
      <c r="A110" s="2" t="str">
        <f>IF(A107="","Toplu birim miktarı",A107&amp;" miktarı")</f>
        <v>kutu miktarı</v>
      </c>
      <c r="B110" s="10" t="str">
        <f>IF(B107="","Temel birim miktarı",B107&amp;" miktarı")</f>
        <v>adet miktarı</v>
      </c>
      <c r="C110" s="3" t="s">
        <v>9</v>
      </c>
    </row>
    <row r="111" spans="1:3" ht="21" customHeight="1">
      <c r="A111" s="8"/>
      <c r="B111" s="9">
        <v>2</v>
      </c>
      <c r="C111" s="7">
        <f>IF(AND(A111="",B111=""),"",IF(AND(A111&lt;&gt;"",C107=""),"",A111*C107+B111))</f>
        <v>2</v>
      </c>
    </row>
    <row r="112" spans="1:3" ht="12" customHeight="1">
      <c r="A112" s="16"/>
      <c r="B112" s="17"/>
      <c r="C112" s="18"/>
    </row>
    <row r="113" spans="1:3" ht="26.1" customHeight="1">
      <c r="A113" s="13" t="s">
        <v>90</v>
      </c>
      <c r="B113" s="14"/>
      <c r="C113" s="15"/>
    </row>
    <row r="114" spans="1:3" ht="20.100000000000001" customHeight="1">
      <c r="A114" s="2" t="s">
        <v>1</v>
      </c>
      <c r="B114" s="10" t="s">
        <v>2</v>
      </c>
      <c r="C114" s="3" t="s">
        <v>3</v>
      </c>
    </row>
    <row r="115" spans="1:3" ht="21" customHeight="1">
      <c r="A115" s="8" t="s">
        <v>55</v>
      </c>
      <c r="B115" s="9" t="s">
        <v>5</v>
      </c>
      <c r="C115" s="7">
        <v>12</v>
      </c>
    </row>
    <row r="116" spans="1:3" ht="20.100000000000001" customHeight="1">
      <c r="A116" s="2" t="s">
        <v>6</v>
      </c>
      <c r="B116" s="10" t="s">
        <v>7</v>
      </c>
      <c r="C116" s="3" t="s">
        <v>8</v>
      </c>
    </row>
    <row r="117" spans="1:3" ht="21" customHeight="1">
      <c r="A117" s="4">
        <v>5</v>
      </c>
      <c r="B117" s="5">
        <v>10</v>
      </c>
      <c r="C117" s="6">
        <v>20</v>
      </c>
    </row>
    <row r="118" spans="1:3" ht="20.100000000000001" customHeight="1">
      <c r="A118" s="2" t="str">
        <f>IF(A115="","Toplu birim miktarı",A115&amp;" miktarı")</f>
        <v>kutu miktarı</v>
      </c>
      <c r="B118" s="10" t="str">
        <f>IF(B115="","Temel birim miktarı",B115&amp;" miktarı")</f>
        <v>adet miktarı</v>
      </c>
      <c r="C118" s="3" t="s">
        <v>9</v>
      </c>
    </row>
    <row r="119" spans="1:3" ht="21" customHeight="1">
      <c r="A119" s="8"/>
      <c r="B119" s="9">
        <v>3</v>
      </c>
      <c r="C119" s="7">
        <f>IF(AND(A119="",B119=""),"",IF(AND(A119&lt;&gt;"",C115=""),"",A119*C115+B119))</f>
        <v>3</v>
      </c>
    </row>
    <row r="120" spans="1:3" ht="12" customHeight="1">
      <c r="A120" s="16"/>
      <c r="B120" s="17"/>
      <c r="C120" s="18"/>
    </row>
    <row r="121" spans="1:3" ht="26.1" customHeight="1">
      <c r="A121" s="13" t="s">
        <v>91</v>
      </c>
      <c r="B121" s="14"/>
      <c r="C121" s="15"/>
    </row>
    <row r="122" spans="1:3" ht="20.100000000000001" customHeight="1">
      <c r="A122" s="2" t="s">
        <v>1</v>
      </c>
      <c r="B122" s="10" t="s">
        <v>2</v>
      </c>
      <c r="C122" s="3" t="s">
        <v>3</v>
      </c>
    </row>
    <row r="123" spans="1:3" ht="21" customHeight="1">
      <c r="A123" s="8" t="s">
        <v>55</v>
      </c>
      <c r="B123" s="9" t="s">
        <v>5</v>
      </c>
      <c r="C123" s="7">
        <v>12</v>
      </c>
    </row>
    <row r="124" spans="1:3" ht="20.100000000000001" customHeight="1">
      <c r="A124" s="2" t="s">
        <v>6</v>
      </c>
      <c r="B124" s="10" t="s">
        <v>7</v>
      </c>
      <c r="C124" s="3" t="s">
        <v>8</v>
      </c>
    </row>
    <row r="125" spans="1:3" ht="21" customHeight="1">
      <c r="A125" s="4">
        <v>5</v>
      </c>
      <c r="B125" s="5">
        <v>10</v>
      </c>
      <c r="C125" s="6">
        <v>20</v>
      </c>
    </row>
    <row r="126" spans="1:3" ht="20.100000000000001" customHeight="1">
      <c r="A126" s="2" t="str">
        <f>IF(A123="","Toplu birim miktarı",A123&amp;" miktarı")</f>
        <v>kutu miktarı</v>
      </c>
      <c r="B126" s="10" t="str">
        <f>IF(B123="","Temel birim miktarı",B123&amp;" miktarı")</f>
        <v>adet miktarı</v>
      </c>
      <c r="C126" s="3" t="s">
        <v>9</v>
      </c>
    </row>
    <row r="127" spans="1:3" ht="21" customHeight="1">
      <c r="A127" s="8"/>
      <c r="B127" s="9">
        <v>3</v>
      </c>
      <c r="C127" s="7">
        <f>IF(AND(A127="",B127=""),"",IF(AND(A127&lt;&gt;"",C123=""),"",A127*C123+B127))</f>
        <v>3</v>
      </c>
    </row>
    <row r="128" spans="1:3" ht="12" customHeight="1">
      <c r="A128" s="16"/>
      <c r="B128" s="17"/>
      <c r="C128" s="18"/>
    </row>
    <row r="129" spans="1:3" ht="26.1" customHeight="1">
      <c r="A129" s="13" t="s">
        <v>92</v>
      </c>
      <c r="B129" s="14"/>
      <c r="C129" s="15"/>
    </row>
    <row r="130" spans="1:3" ht="20.100000000000001" customHeight="1">
      <c r="A130" s="2" t="s">
        <v>1</v>
      </c>
      <c r="B130" s="10" t="s">
        <v>2</v>
      </c>
      <c r="C130" s="3" t="s">
        <v>3</v>
      </c>
    </row>
    <row r="131" spans="1:3" ht="21" customHeight="1">
      <c r="A131" s="8" t="s">
        <v>55</v>
      </c>
      <c r="B131" s="9" t="s">
        <v>5</v>
      </c>
      <c r="C131" s="7">
        <v>6</v>
      </c>
    </row>
    <row r="132" spans="1:3" ht="20.100000000000001" customHeight="1">
      <c r="A132" s="2" t="s">
        <v>6</v>
      </c>
      <c r="B132" s="10" t="s">
        <v>7</v>
      </c>
      <c r="C132" s="3" t="s">
        <v>8</v>
      </c>
    </row>
    <row r="133" spans="1:3" ht="21" customHeight="1">
      <c r="A133" s="4">
        <v>5</v>
      </c>
      <c r="B133" s="5">
        <v>10</v>
      </c>
      <c r="C133" s="6">
        <v>20</v>
      </c>
    </row>
    <row r="134" spans="1:3" ht="20.100000000000001" customHeight="1">
      <c r="A134" s="2" t="str">
        <f>IF(A131="","Toplu birim miktarı",A131&amp;" miktarı")</f>
        <v>kutu miktarı</v>
      </c>
      <c r="B134" s="10" t="str">
        <f>IF(B131="","Temel birim miktarı",B131&amp;" miktarı")</f>
        <v>adet miktarı</v>
      </c>
      <c r="C134" s="3" t="s">
        <v>9</v>
      </c>
    </row>
    <row r="135" spans="1:3" ht="21" customHeight="1">
      <c r="A135" s="8">
        <v>1</v>
      </c>
      <c r="B135" s="9">
        <v>0</v>
      </c>
      <c r="C135" s="7">
        <f>IF(AND(A135="",B135=""),"",IF(AND(A135&lt;&gt;"",C131=""),"",A135*C131+B135))</f>
        <v>6</v>
      </c>
    </row>
    <row r="136" spans="1:3" ht="12" customHeight="1">
      <c r="A136" s="16"/>
      <c r="B136" s="17"/>
      <c r="C136" s="18"/>
    </row>
    <row r="137" spans="1:3" ht="26.1" customHeight="1">
      <c r="A137" s="13" t="s">
        <v>93</v>
      </c>
      <c r="B137" s="14"/>
      <c r="C137" s="15"/>
    </row>
    <row r="138" spans="1:3" ht="20.100000000000001" customHeight="1">
      <c r="A138" s="2" t="s">
        <v>1</v>
      </c>
      <c r="B138" s="10" t="s">
        <v>2</v>
      </c>
      <c r="C138" s="3" t="s">
        <v>3</v>
      </c>
    </row>
    <row r="139" spans="1:3" ht="21" customHeight="1">
      <c r="A139" s="8" t="s">
        <v>55</v>
      </c>
      <c r="B139" s="9" t="s">
        <v>5</v>
      </c>
      <c r="C139" s="7">
        <v>12</v>
      </c>
    </row>
    <row r="140" spans="1:3" ht="20.100000000000001" customHeight="1">
      <c r="A140" s="2" t="s">
        <v>6</v>
      </c>
      <c r="B140" s="10" t="s">
        <v>7</v>
      </c>
      <c r="C140" s="3" t="s">
        <v>8</v>
      </c>
    </row>
    <row r="141" spans="1:3" ht="21" customHeight="1">
      <c r="A141" s="4">
        <v>5</v>
      </c>
      <c r="B141" s="5">
        <v>10</v>
      </c>
      <c r="C141" s="6">
        <v>20</v>
      </c>
    </row>
    <row r="142" spans="1:3" ht="20.100000000000001" customHeight="1">
      <c r="A142" s="2" t="str">
        <f>IF(A139="","Toplu birim miktarı",A139&amp;" miktarı")</f>
        <v>kutu miktarı</v>
      </c>
      <c r="B142" s="10" t="str">
        <f>IF(B139="","Temel birim miktarı",B139&amp;" miktarı")</f>
        <v>adet miktarı</v>
      </c>
      <c r="C142" s="3" t="s">
        <v>9</v>
      </c>
    </row>
    <row r="143" spans="1:3" ht="21" customHeight="1">
      <c r="A143" s="8"/>
      <c r="B143" s="9">
        <v>4</v>
      </c>
      <c r="C143" s="7">
        <f>IF(AND(A143="",B143=""),"",IF(AND(A143&lt;&gt;"",C139=""),"",A143*C139+B143))</f>
        <v>4</v>
      </c>
    </row>
    <row r="144" spans="1:3" ht="12" customHeight="1">
      <c r="A144" s="16"/>
      <c r="B144" s="17"/>
      <c r="C144" s="18"/>
    </row>
    <row r="145" spans="1:3" ht="26.1" customHeight="1">
      <c r="A145" s="13" t="s">
        <v>94</v>
      </c>
      <c r="B145" s="14"/>
      <c r="C145" s="15"/>
    </row>
    <row r="146" spans="1:3" ht="20.100000000000001" customHeight="1">
      <c r="A146" s="2" t="s">
        <v>1</v>
      </c>
      <c r="B146" s="10" t="s">
        <v>2</v>
      </c>
      <c r="C146" s="3" t="s">
        <v>3</v>
      </c>
    </row>
    <row r="147" spans="1:3" ht="21" customHeight="1">
      <c r="A147" s="8" t="s">
        <v>55</v>
      </c>
      <c r="B147" s="9" t="s">
        <v>5</v>
      </c>
      <c r="C147" s="7">
        <v>6</v>
      </c>
    </row>
    <row r="148" spans="1:3" ht="20.100000000000001" customHeight="1">
      <c r="A148" s="2" t="s">
        <v>6</v>
      </c>
      <c r="B148" s="10" t="s">
        <v>7</v>
      </c>
      <c r="C148" s="3" t="s">
        <v>8</v>
      </c>
    </row>
    <row r="149" spans="1:3" ht="21" customHeight="1">
      <c r="A149" s="4">
        <v>5</v>
      </c>
      <c r="B149" s="5">
        <v>10</v>
      </c>
      <c r="C149" s="6">
        <v>20</v>
      </c>
    </row>
    <row r="150" spans="1:3" ht="20.100000000000001" customHeight="1">
      <c r="A150" s="2" t="str">
        <f>IF(A147="","Toplu birim miktarı",A147&amp;" miktarı")</f>
        <v>kutu miktarı</v>
      </c>
      <c r="B150" s="10" t="str">
        <f>IF(B147="","Temel birim miktarı",B147&amp;" miktarı")</f>
        <v>adet miktarı</v>
      </c>
      <c r="C150" s="3" t="s">
        <v>9</v>
      </c>
    </row>
    <row r="151" spans="1:3" ht="21" customHeight="1">
      <c r="A151" s="8"/>
      <c r="B151" s="9">
        <v>3</v>
      </c>
      <c r="C151" s="7">
        <f>IF(AND(A151="",B151=""),"",IF(AND(A151&lt;&gt;"",C147=""),"",A151*C147+B151))</f>
        <v>3</v>
      </c>
    </row>
    <row r="152" spans="1:3" ht="12" customHeight="1">
      <c r="A152" s="16"/>
      <c r="B152" s="17"/>
      <c r="C152" s="18"/>
    </row>
    <row r="153" spans="1:3" ht="26.1" customHeight="1">
      <c r="A153" s="13" t="s">
        <v>95</v>
      </c>
      <c r="B153" s="14"/>
      <c r="C153" s="15"/>
    </row>
    <row r="154" spans="1:3" ht="20.100000000000001" customHeight="1">
      <c r="A154" s="2" t="s">
        <v>1</v>
      </c>
      <c r="B154" s="10" t="s">
        <v>2</v>
      </c>
      <c r="C154" s="3" t="s">
        <v>3</v>
      </c>
    </row>
    <row r="155" spans="1:3" ht="21" customHeight="1">
      <c r="A155" s="8" t="s">
        <v>55</v>
      </c>
      <c r="B155" s="9" t="s">
        <v>5</v>
      </c>
      <c r="C155" s="7">
        <v>6</v>
      </c>
    </row>
    <row r="156" spans="1:3" ht="20.100000000000001" customHeight="1">
      <c r="A156" s="2" t="s">
        <v>6</v>
      </c>
      <c r="B156" s="10" t="s">
        <v>7</v>
      </c>
      <c r="C156" s="3" t="s">
        <v>8</v>
      </c>
    </row>
    <row r="157" spans="1:3" ht="21" customHeight="1">
      <c r="A157" s="4">
        <v>5</v>
      </c>
      <c r="B157" s="5">
        <v>10</v>
      </c>
      <c r="C157" s="6">
        <v>20</v>
      </c>
    </row>
    <row r="158" spans="1:3" ht="20.100000000000001" customHeight="1">
      <c r="A158" s="2" t="str">
        <f>IF(A155="","Toplu birim miktarı",A155&amp;" miktarı")</f>
        <v>kutu miktarı</v>
      </c>
      <c r="B158" s="10" t="str">
        <f>IF(B155="","Temel birim miktarı",B155&amp;" miktarı")</f>
        <v>adet miktarı</v>
      </c>
      <c r="C158" s="3" t="s">
        <v>9</v>
      </c>
    </row>
    <row r="159" spans="1:3" ht="21" customHeight="1">
      <c r="A159" s="8"/>
      <c r="B159" s="9">
        <v>2</v>
      </c>
      <c r="C159" s="7">
        <f>IF(AND(A159="",B159=""),"",IF(AND(A159&lt;&gt;"",C155=""),"",A159*C155+B159))</f>
        <v>2</v>
      </c>
    </row>
    <row r="160" spans="1:3" ht="12" customHeight="1">
      <c r="A160" s="16"/>
      <c r="B160" s="17"/>
      <c r="C160" s="18"/>
    </row>
    <row r="161" spans="1:3" ht="26.1" customHeight="1">
      <c r="A161" s="13" t="s">
        <v>96</v>
      </c>
      <c r="B161" s="14"/>
      <c r="C161" s="15"/>
    </row>
    <row r="162" spans="1:3" ht="20.100000000000001" customHeight="1">
      <c r="A162" s="2" t="s">
        <v>1</v>
      </c>
      <c r="B162" s="10" t="s">
        <v>2</v>
      </c>
      <c r="C162" s="3" t="s">
        <v>3</v>
      </c>
    </row>
    <row r="163" spans="1:3" ht="21" customHeight="1">
      <c r="A163" s="8" t="s">
        <v>55</v>
      </c>
      <c r="B163" s="9" t="s">
        <v>5</v>
      </c>
      <c r="C163" s="7">
        <v>6</v>
      </c>
    </row>
    <row r="164" spans="1:3" ht="20.100000000000001" customHeight="1">
      <c r="A164" s="2" t="s">
        <v>6</v>
      </c>
      <c r="B164" s="10" t="s">
        <v>7</v>
      </c>
      <c r="C164" s="3" t="s">
        <v>8</v>
      </c>
    </row>
    <row r="165" spans="1:3" ht="21" customHeight="1">
      <c r="A165" s="4">
        <v>5</v>
      </c>
      <c r="B165" s="5">
        <v>10</v>
      </c>
      <c r="C165" s="6">
        <v>20</v>
      </c>
    </row>
    <row r="166" spans="1:3" ht="20.100000000000001" customHeight="1">
      <c r="A166" s="2" t="str">
        <f>IF(A163="","Toplu birim miktarı",A163&amp;" miktarı")</f>
        <v>kutu miktarı</v>
      </c>
      <c r="B166" s="10" t="str">
        <f>IF(B163="","Temel birim miktarı",B163&amp;" miktarı")</f>
        <v>adet miktarı</v>
      </c>
      <c r="C166" s="3" t="s">
        <v>9</v>
      </c>
    </row>
    <row r="167" spans="1:3" ht="21" customHeight="1">
      <c r="A167" s="8"/>
      <c r="B167" s="9">
        <v>4</v>
      </c>
      <c r="C167" s="7">
        <f>IF(AND(A167="",B167=""),"",IF(AND(A167&lt;&gt;"",C163=""),"",A167*C163+B167))</f>
        <v>4</v>
      </c>
    </row>
    <row r="168" spans="1:3" ht="12" customHeight="1">
      <c r="A168" s="16"/>
      <c r="B168" s="17"/>
      <c r="C168" s="18"/>
    </row>
    <row r="169" spans="1:3" ht="26.1" customHeight="1">
      <c r="A169" s="13" t="s">
        <v>97</v>
      </c>
      <c r="B169" s="14"/>
      <c r="C169" s="15"/>
    </row>
    <row r="170" spans="1:3" ht="20.100000000000001" customHeight="1">
      <c r="A170" s="2" t="s">
        <v>1</v>
      </c>
      <c r="B170" s="10" t="s">
        <v>2</v>
      </c>
      <c r="C170" s="3" t="s">
        <v>3</v>
      </c>
    </row>
    <row r="171" spans="1:3" ht="21" customHeight="1">
      <c r="A171" s="8" t="s">
        <v>55</v>
      </c>
      <c r="B171" s="9" t="s">
        <v>5</v>
      </c>
      <c r="C171" s="7">
        <v>2</v>
      </c>
    </row>
    <row r="172" spans="1:3" ht="20.100000000000001" customHeight="1">
      <c r="A172" s="2" t="s">
        <v>6</v>
      </c>
      <c r="B172" s="10" t="s">
        <v>7</v>
      </c>
      <c r="C172" s="3" t="s">
        <v>8</v>
      </c>
    </row>
    <row r="173" spans="1:3" ht="21" customHeight="1">
      <c r="A173" s="4">
        <v>5</v>
      </c>
      <c r="B173" s="5">
        <v>10</v>
      </c>
      <c r="C173" s="6">
        <v>20</v>
      </c>
    </row>
    <row r="174" spans="1:3" ht="20.100000000000001" customHeight="1">
      <c r="A174" s="2" t="str">
        <f>IF(A171="","Toplu birim miktarı",A171&amp;" miktarı")</f>
        <v>kutu miktarı</v>
      </c>
      <c r="B174" s="10" t="str">
        <f>IF(B171="","Temel birim miktarı",B171&amp;" miktarı")</f>
        <v>adet miktarı</v>
      </c>
      <c r="C174" s="3" t="s">
        <v>9</v>
      </c>
    </row>
    <row r="175" spans="1:3" ht="21" customHeight="1">
      <c r="A175" s="8"/>
      <c r="B175" s="9">
        <v>1</v>
      </c>
      <c r="C175" s="7">
        <f>IF(AND(A175="",B175=""),"",IF(AND(A175&lt;&gt;"",C171=""),"",A175*C171+B175))</f>
        <v>1</v>
      </c>
    </row>
    <row r="176" spans="1:3" ht="12" customHeight="1">
      <c r="A176" s="16"/>
      <c r="B176" s="17"/>
      <c r="C176" s="18"/>
    </row>
    <row r="177" spans="1:3" ht="26.1" customHeight="1">
      <c r="A177" s="13" t="s">
        <v>98</v>
      </c>
      <c r="B177" s="14"/>
      <c r="C177" s="15"/>
    </row>
    <row r="178" spans="1:3" ht="20.100000000000001" customHeight="1">
      <c r="A178" s="2" t="s">
        <v>1</v>
      </c>
      <c r="B178" s="10" t="s">
        <v>2</v>
      </c>
      <c r="C178" s="3" t="s">
        <v>3</v>
      </c>
    </row>
    <row r="179" spans="1:3" ht="21" customHeight="1">
      <c r="A179" s="8" t="s">
        <v>55</v>
      </c>
      <c r="B179" s="9" t="s">
        <v>5</v>
      </c>
      <c r="C179" s="7">
        <v>6</v>
      </c>
    </row>
    <row r="180" spans="1:3" ht="20.100000000000001" customHeight="1">
      <c r="A180" s="2" t="s">
        <v>6</v>
      </c>
      <c r="B180" s="10" t="s">
        <v>7</v>
      </c>
      <c r="C180" s="3" t="s">
        <v>8</v>
      </c>
    </row>
    <row r="181" spans="1:3" ht="21" customHeight="1">
      <c r="A181" s="4">
        <v>5</v>
      </c>
      <c r="B181" s="5">
        <v>10</v>
      </c>
      <c r="C181" s="6">
        <v>20</v>
      </c>
    </row>
    <row r="182" spans="1:3" ht="20.100000000000001" customHeight="1">
      <c r="A182" s="2" t="str">
        <f>IF(A179="","Toplu birim miktarı",A179&amp;" miktarı")</f>
        <v>kutu miktarı</v>
      </c>
      <c r="B182" s="10" t="str">
        <f>IF(B179="","Temel birim miktarı",B179&amp;" miktarı")</f>
        <v>adet miktarı</v>
      </c>
      <c r="C182" s="3" t="s">
        <v>9</v>
      </c>
    </row>
    <row r="183" spans="1:3" ht="21" customHeight="1">
      <c r="A183" s="8"/>
      <c r="B183" s="9">
        <v>5</v>
      </c>
      <c r="C183" s="7">
        <f>IF(AND(A183="",B183=""),"",IF(AND(A183&lt;&gt;"",C179=""),"",A183*C179+B183))</f>
        <v>5</v>
      </c>
    </row>
    <row r="184" spans="1:3" ht="12" customHeight="1">
      <c r="A184" s="16"/>
      <c r="B184" s="17"/>
      <c r="C184" s="18"/>
    </row>
    <row r="185" spans="1:3" ht="26.1" customHeight="1">
      <c r="A185" s="13" t="s">
        <v>99</v>
      </c>
      <c r="B185" s="14"/>
      <c r="C185" s="15"/>
    </row>
    <row r="186" spans="1:3" ht="20.100000000000001" customHeight="1">
      <c r="A186" s="2" t="s">
        <v>1</v>
      </c>
      <c r="B186" s="10" t="s">
        <v>2</v>
      </c>
      <c r="C186" s="3" t="s">
        <v>3</v>
      </c>
    </row>
    <row r="187" spans="1:3" ht="21" customHeight="1">
      <c r="A187" s="8" t="s">
        <v>55</v>
      </c>
      <c r="B187" s="9" t="s">
        <v>5</v>
      </c>
      <c r="C187" s="7">
        <v>6</v>
      </c>
    </row>
    <row r="188" spans="1:3" ht="20.100000000000001" customHeight="1">
      <c r="A188" s="2" t="s">
        <v>6</v>
      </c>
      <c r="B188" s="10" t="s">
        <v>7</v>
      </c>
      <c r="C188" s="3" t="s">
        <v>8</v>
      </c>
    </row>
    <row r="189" spans="1:3" ht="21" customHeight="1">
      <c r="A189" s="4">
        <v>5</v>
      </c>
      <c r="B189" s="5">
        <v>10</v>
      </c>
      <c r="C189" s="6">
        <v>20</v>
      </c>
    </row>
    <row r="190" spans="1:3" ht="20.100000000000001" customHeight="1">
      <c r="A190" s="2" t="str">
        <f>IF(A187="","Toplu birim miktarı",A187&amp;" miktarı")</f>
        <v>kutu miktarı</v>
      </c>
      <c r="B190" s="10" t="str">
        <f>IF(B187="","Temel birim miktarı",B187&amp;" miktarı")</f>
        <v>adet miktarı</v>
      </c>
      <c r="C190" s="3" t="s">
        <v>9</v>
      </c>
    </row>
    <row r="191" spans="1:3" ht="21" customHeight="1">
      <c r="A191" s="8"/>
      <c r="B191" s="9">
        <v>5</v>
      </c>
      <c r="C191" s="7">
        <f>IF(AND(A191="",B191=""),"",IF(AND(A191&lt;&gt;"",C187=""),"",A191*C187+B191))</f>
        <v>5</v>
      </c>
    </row>
    <row r="192" spans="1:3" ht="12" customHeight="1">
      <c r="A192" s="16"/>
      <c r="B192" s="17"/>
      <c r="C192" s="18"/>
    </row>
    <row r="193" spans="1:3" ht="26.1" customHeight="1">
      <c r="A193" s="13" t="s">
        <v>100</v>
      </c>
      <c r="B193" s="14"/>
      <c r="C193" s="15"/>
    </row>
    <row r="194" spans="1:3" ht="20.100000000000001" customHeight="1">
      <c r="A194" s="2" t="s">
        <v>1</v>
      </c>
      <c r="B194" s="10" t="s">
        <v>2</v>
      </c>
      <c r="C194" s="3" t="s">
        <v>3</v>
      </c>
    </row>
    <row r="195" spans="1:3" ht="21" customHeight="1">
      <c r="A195" s="8" t="s">
        <v>55</v>
      </c>
      <c r="B195" s="9" t="s">
        <v>5</v>
      </c>
      <c r="C195" s="7">
        <v>6</v>
      </c>
    </row>
    <row r="196" spans="1:3" ht="20.100000000000001" customHeight="1">
      <c r="A196" s="2" t="s">
        <v>6</v>
      </c>
      <c r="B196" s="10" t="s">
        <v>7</v>
      </c>
      <c r="C196" s="3" t="s">
        <v>8</v>
      </c>
    </row>
    <row r="197" spans="1:3" ht="21" customHeight="1">
      <c r="A197" s="4">
        <v>5</v>
      </c>
      <c r="B197" s="5">
        <v>10</v>
      </c>
      <c r="C197" s="6">
        <v>20</v>
      </c>
    </row>
    <row r="198" spans="1:3" ht="20.100000000000001" customHeight="1">
      <c r="A198" s="2" t="str">
        <f>IF(A195="","Toplu birim miktarı",A195&amp;" miktarı")</f>
        <v>kutu miktarı</v>
      </c>
      <c r="B198" s="10" t="str">
        <f>IF(B195="","Temel birim miktarı",B195&amp;" miktarı")</f>
        <v>adet miktarı</v>
      </c>
      <c r="C198" s="3" t="s">
        <v>9</v>
      </c>
    </row>
    <row r="199" spans="1:3" ht="21" customHeight="1">
      <c r="A199" s="8"/>
      <c r="B199" s="9">
        <v>1</v>
      </c>
      <c r="C199" s="7">
        <f>IF(AND(A199="",B199=""),"",IF(AND(A199&lt;&gt;"",C195=""),"",A199*C195+B199))</f>
        <v>1</v>
      </c>
    </row>
    <row r="200" spans="1:3" ht="12" customHeight="1">
      <c r="A200" s="16"/>
      <c r="B200" s="17"/>
      <c r="C200" s="18"/>
    </row>
    <row r="201" spans="1:3" ht="26.1" customHeight="1">
      <c r="A201" s="13" t="s">
        <v>101</v>
      </c>
      <c r="B201" s="14"/>
      <c r="C201" s="15"/>
    </row>
    <row r="202" spans="1:3" ht="20.100000000000001" customHeight="1">
      <c r="A202" s="2" t="s">
        <v>1</v>
      </c>
      <c r="B202" s="10" t="s">
        <v>2</v>
      </c>
      <c r="C202" s="3" t="s">
        <v>3</v>
      </c>
    </row>
    <row r="203" spans="1:3" ht="21" customHeight="1">
      <c r="A203" s="8" t="s">
        <v>55</v>
      </c>
      <c r="B203" s="9" t="s">
        <v>5</v>
      </c>
      <c r="C203" s="7">
        <v>6</v>
      </c>
    </row>
    <row r="204" spans="1:3" ht="20.100000000000001" customHeight="1">
      <c r="A204" s="2" t="s">
        <v>6</v>
      </c>
      <c r="B204" s="10" t="s">
        <v>7</v>
      </c>
      <c r="C204" s="3" t="s">
        <v>8</v>
      </c>
    </row>
    <row r="205" spans="1:3" ht="21" customHeight="1">
      <c r="A205" s="4">
        <v>5</v>
      </c>
      <c r="B205" s="5">
        <v>10</v>
      </c>
      <c r="C205" s="6">
        <v>20</v>
      </c>
    </row>
    <row r="206" spans="1:3" ht="20.100000000000001" customHeight="1">
      <c r="A206" s="2" t="str">
        <f>IF(A203="","Toplu birim miktarı",A203&amp;" miktarı")</f>
        <v>kutu miktarı</v>
      </c>
      <c r="B206" s="10" t="str">
        <f>IF(B203="","Temel birim miktarı",B203&amp;" miktarı")</f>
        <v>adet miktarı</v>
      </c>
      <c r="C206" s="3" t="s">
        <v>9</v>
      </c>
    </row>
    <row r="207" spans="1:3" ht="21" customHeight="1">
      <c r="A207" s="8"/>
      <c r="B207" s="9">
        <v>6</v>
      </c>
      <c r="C207" s="7">
        <f>IF(AND(A207="",B207=""),"",IF(AND(A207&lt;&gt;"",C203=""),"",A207*C203+B207))</f>
        <v>6</v>
      </c>
    </row>
    <row r="208" spans="1:3" ht="12" customHeight="1">
      <c r="A208" s="16"/>
      <c r="B208" s="17"/>
      <c r="C208" s="18"/>
    </row>
    <row r="209" spans="1:3" ht="16.8">
      <c r="A209" s="13" t="s">
        <v>102</v>
      </c>
      <c r="B209" s="14"/>
      <c r="C209" s="15"/>
    </row>
    <row r="210" spans="1:3">
      <c r="A210" s="2" t="s">
        <v>1</v>
      </c>
      <c r="B210" s="10" t="s">
        <v>2</v>
      </c>
      <c r="C210" s="3" t="s">
        <v>3</v>
      </c>
    </row>
    <row r="211" spans="1:3">
      <c r="A211" s="8" t="s">
        <v>55</v>
      </c>
      <c r="B211" s="9" t="s">
        <v>5</v>
      </c>
      <c r="C211" s="7">
        <v>12</v>
      </c>
    </row>
    <row r="212" spans="1:3">
      <c r="A212" s="2" t="s">
        <v>6</v>
      </c>
      <c r="B212" s="10" t="s">
        <v>7</v>
      </c>
      <c r="C212" s="3" t="s">
        <v>8</v>
      </c>
    </row>
    <row r="213" spans="1:3">
      <c r="A213" s="4">
        <v>5</v>
      </c>
      <c r="B213" s="5">
        <v>10</v>
      </c>
      <c r="C213" s="6">
        <v>20</v>
      </c>
    </row>
    <row r="214" spans="1:3">
      <c r="A214" s="2" t="str">
        <f>IF(A211="","Toplu birim miktarı",A211&amp;" miktarı")</f>
        <v>kutu miktarı</v>
      </c>
      <c r="B214" s="10" t="str">
        <f>IF(B211="","Temel birim miktarı",B211&amp;" miktarı")</f>
        <v>adet miktarı</v>
      </c>
      <c r="C214" s="3" t="s">
        <v>9</v>
      </c>
    </row>
    <row r="215" spans="1:3">
      <c r="A215" s="8"/>
      <c r="B215" s="9">
        <v>6</v>
      </c>
      <c r="C215" s="7">
        <f>IF(AND(A215="",B215=""),"",IF(AND(A215&lt;&gt;"",C211=""),"",A215*C211+B215))</f>
        <v>6</v>
      </c>
    </row>
  </sheetData>
  <mergeCells count="53">
    <mergeCell ref="A209:C209"/>
    <mergeCell ref="A64:C64"/>
    <mergeCell ref="A72:C72"/>
    <mergeCell ref="A41:C41"/>
    <mergeCell ref="A49:C49"/>
    <mergeCell ref="A57:C57"/>
    <mergeCell ref="A65:C65"/>
    <mergeCell ref="A144:C144"/>
    <mergeCell ref="A152:C152"/>
    <mergeCell ref="A121:C121"/>
    <mergeCell ref="A129:C129"/>
    <mergeCell ref="A120:C120"/>
    <mergeCell ref="A128:C128"/>
    <mergeCell ref="A136:C136"/>
    <mergeCell ref="A161:C161"/>
    <mergeCell ref="A169:C169"/>
    <mergeCell ref="A1:C1"/>
    <mergeCell ref="A9:C9"/>
    <mergeCell ref="A17:C17"/>
    <mergeCell ref="A25:C25"/>
    <mergeCell ref="A33:C33"/>
    <mergeCell ref="A8:C8"/>
    <mergeCell ref="A16:C16"/>
    <mergeCell ref="A24:C24"/>
    <mergeCell ref="A32:C32"/>
    <mergeCell ref="A40:C40"/>
    <mergeCell ref="A48:C48"/>
    <mergeCell ref="A56:C56"/>
    <mergeCell ref="A104:C104"/>
    <mergeCell ref="A112:C112"/>
    <mergeCell ref="A73:C73"/>
    <mergeCell ref="A96:C96"/>
    <mergeCell ref="A177:C177"/>
    <mergeCell ref="A185:C185"/>
    <mergeCell ref="A193:C193"/>
    <mergeCell ref="A184:C184"/>
    <mergeCell ref="A192:C192"/>
    <mergeCell ref="A200:C200"/>
    <mergeCell ref="A208:C208"/>
    <mergeCell ref="A201:C201"/>
    <mergeCell ref="A80:C80"/>
    <mergeCell ref="A88:C88"/>
    <mergeCell ref="A81:C81"/>
    <mergeCell ref="A137:C137"/>
    <mergeCell ref="A145:C145"/>
    <mergeCell ref="A160:C160"/>
    <mergeCell ref="A168:C168"/>
    <mergeCell ref="A176:C176"/>
    <mergeCell ref="A153:C153"/>
    <mergeCell ref="A89:C89"/>
    <mergeCell ref="A97:C97"/>
    <mergeCell ref="A105:C105"/>
    <mergeCell ref="A113:C113"/>
  </mergeCells>
  <dataValidations count="3">
    <dataValidation type="list" sqref="A3 A203 A195 A187 A179 A171 A163 A155 A147 A139 A131 A123 A115 A107 A99 A91 A83 A75 A67 A59 A51 A43 A35 A27 A19 A11 A211" xr:uid="{00000000-0002-0000-0800-000000000000}">
      <formula1>"koli,kasa,paket,kutu,çuval,adet"</formula1>
    </dataValidation>
    <dataValidation type="list" sqref="B3 B203 B195 B187 B179 B171 B163 B155 B147 B139 B131 B123 B115 B107 B99 B91 B83 B75 B67 B59 B51 B43 B35 B27 B19 B11 B211" xr:uid="{00000000-0002-0000-0800-000001000000}">
      <formula1>"adet,şişe,litre,ml,kg,gr,metre,koli,paket,kutu"</formula1>
    </dataValidation>
    <dataValidation type="decimal" operator="greaterThan" sqref="C3 C203 C195 C187 C179 C171 C163 C155 C147 C139 C131 C123 C115 C107 C99 C91 C83 C75 C67 C59 C51 C43 C35 C27 C19 C11 C211" xr:uid="{00000000-0002-0000-0800-000002000000}">
      <formula1>0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7"/>
  <sheetViews>
    <sheetView topLeftCell="A7" zoomScaleNormal="100" zoomScaleSheetLayoutView="100" workbookViewId="0">
      <selection activeCell="G2" sqref="G2:J14"/>
    </sheetView>
  </sheetViews>
  <sheetFormatPr defaultRowHeight="13.8"/>
  <cols>
    <col min="1" max="3" width="19" customWidth="1"/>
  </cols>
  <sheetData>
    <row r="1" spans="1:3" ht="26.1" customHeight="1">
      <c r="A1" s="13" t="s">
        <v>103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55</v>
      </c>
      <c r="B3" s="9" t="s">
        <v>5</v>
      </c>
      <c r="C3" s="7">
        <v>6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kutu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1</v>
      </c>
      <c r="B7" s="9"/>
      <c r="C7" s="7">
        <f>IF(AND(A7="",B7=""),"",IF(AND(A7&lt;&gt;"",C3=""),"",A7*C3+B7))</f>
        <v>6</v>
      </c>
    </row>
    <row r="8" spans="1:3" ht="12" customHeight="1">
      <c r="A8" s="16"/>
      <c r="B8" s="17"/>
      <c r="C8" s="18"/>
    </row>
    <row r="9" spans="1:3" ht="26.1" customHeight="1">
      <c r="A9" s="13" t="s">
        <v>104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55</v>
      </c>
      <c r="B11" s="9" t="s">
        <v>5</v>
      </c>
      <c r="C11" s="7">
        <v>6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kutu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>
        <v>1</v>
      </c>
      <c r="C15" s="7">
        <f>IF(AND(A15="",B15=""),"",IF(AND(A15&lt;&gt;"",C11=""),"",A15*C11+B15))</f>
        <v>7</v>
      </c>
    </row>
    <row r="16" spans="1:3" ht="12" customHeight="1">
      <c r="A16" s="16"/>
      <c r="B16" s="17"/>
      <c r="C16" s="18"/>
    </row>
    <row r="17" spans="1:3" ht="26.1" customHeight="1">
      <c r="A17" s="13" t="s">
        <v>105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55</v>
      </c>
      <c r="B19" s="9" t="s">
        <v>5</v>
      </c>
      <c r="C19" s="7">
        <v>6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kutu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1</v>
      </c>
      <c r="B23" s="9"/>
      <c r="C23" s="7">
        <f>IF(AND(A23="",B23=""),"",IF(AND(A23&lt;&gt;"",C19=""),"",A23*C19+B23))</f>
        <v>6</v>
      </c>
    </row>
    <row r="24" spans="1:3" ht="12" customHeight="1">
      <c r="A24" s="16"/>
      <c r="B24" s="17"/>
      <c r="C24" s="18"/>
    </row>
    <row r="25" spans="1:3" ht="26.1" customHeight="1">
      <c r="A25" s="13" t="s">
        <v>106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/>
      <c r="B27" s="9"/>
      <c r="C27" s="7"/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Toplu birim miktarı</v>
      </c>
      <c r="B30" s="10" t="str">
        <f>IF(B27="","Temel birim miktarı",B27&amp;" miktarı")</f>
        <v>Temel birim miktarı</v>
      </c>
      <c r="C30" s="3" t="s">
        <v>9</v>
      </c>
    </row>
    <row r="31" spans="1:3" ht="21" customHeight="1">
      <c r="A31" s="8"/>
      <c r="B31" s="9">
        <v>6</v>
      </c>
      <c r="C31" s="7">
        <f>IF(AND(A31="",B31=""),"",IF(AND(A31&lt;&gt;"",C27=""),"",A31*C27+B31))</f>
        <v>6</v>
      </c>
    </row>
    <row r="32" spans="1:3" ht="12" customHeight="1">
      <c r="A32" s="16"/>
      <c r="B32" s="17"/>
      <c r="C32" s="18"/>
    </row>
    <row r="33" spans="1:3" ht="26.1" customHeight="1">
      <c r="A33" s="13" t="s">
        <v>107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55</v>
      </c>
      <c r="B35" s="9" t="s">
        <v>5</v>
      </c>
      <c r="C35" s="7">
        <v>6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kutu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/>
      <c r="B39" s="9">
        <v>1</v>
      </c>
      <c r="C39" s="7">
        <f>IF(AND(A39="",B39=""),"",IF(AND(A39&lt;&gt;"",C35=""),"",A39*C35+B39))</f>
        <v>1</v>
      </c>
    </row>
    <row r="40" spans="1:3" ht="6.9" customHeight="1"/>
    <row r="41" spans="1:3" ht="16.8">
      <c r="A41" s="13" t="s">
        <v>108</v>
      </c>
      <c r="B41" s="14"/>
      <c r="C41" s="15"/>
    </row>
    <row r="42" spans="1:3">
      <c r="A42" s="2" t="s">
        <v>1</v>
      </c>
      <c r="B42" s="10" t="s">
        <v>2</v>
      </c>
      <c r="C42" s="3" t="s">
        <v>3</v>
      </c>
    </row>
    <row r="43" spans="1:3">
      <c r="A43" s="8" t="s">
        <v>55</v>
      </c>
      <c r="B43" s="9" t="s">
        <v>5</v>
      </c>
      <c r="C43" s="7">
        <v>6</v>
      </c>
    </row>
    <row r="44" spans="1:3">
      <c r="A44" s="2" t="s">
        <v>6</v>
      </c>
      <c r="B44" s="10" t="s">
        <v>7</v>
      </c>
      <c r="C44" s="3" t="s">
        <v>8</v>
      </c>
    </row>
    <row r="45" spans="1:3">
      <c r="A45" s="4">
        <v>5</v>
      </c>
      <c r="B45" s="5">
        <v>10</v>
      </c>
      <c r="C45" s="6">
        <v>20</v>
      </c>
    </row>
    <row r="46" spans="1:3">
      <c r="A46" s="2" t="str">
        <f>IF(A43="","Toplu birim miktarı",A43&amp;" miktarı")</f>
        <v>kutu miktarı</v>
      </c>
      <c r="B46" s="10" t="str">
        <f>IF(B43="","Temel birim miktarı",B43&amp;" miktarı")</f>
        <v>adet miktarı</v>
      </c>
      <c r="C46" s="3" t="s">
        <v>9</v>
      </c>
    </row>
    <row r="47" spans="1:3">
      <c r="A47" s="8">
        <v>1</v>
      </c>
      <c r="B47" s="9">
        <v>3</v>
      </c>
      <c r="C47" s="7">
        <f>IF(AND(A47="",B47=""),"",IF(AND(A47&lt;&gt;"",C43=""),"",A47*C43+B47))</f>
        <v>9</v>
      </c>
    </row>
  </sheetData>
  <mergeCells count="10">
    <mergeCell ref="A41:C41"/>
    <mergeCell ref="A1:C1"/>
    <mergeCell ref="A9:C9"/>
    <mergeCell ref="A17:C17"/>
    <mergeCell ref="A25:C25"/>
    <mergeCell ref="A33:C33"/>
    <mergeCell ref="A8:C8"/>
    <mergeCell ref="A16:C16"/>
    <mergeCell ref="A24:C24"/>
    <mergeCell ref="A32:C32"/>
  </mergeCells>
  <dataValidations count="3">
    <dataValidation type="list" sqref="A3 A35 A27 A19 A11 A43" xr:uid="{00000000-0002-0000-0900-000000000000}">
      <formula1>"koli,kasa,paket,kutu,çuval,adet"</formula1>
    </dataValidation>
    <dataValidation type="list" sqref="B3 B35 B27 B19 B11 B43" xr:uid="{00000000-0002-0000-0900-000001000000}">
      <formula1>"adet,şişe,litre,ml,kg,gr,metre,koli,paket,kutu"</formula1>
    </dataValidation>
    <dataValidation type="decimal" operator="greaterThan" sqref="C3 C35 C27 C19 C11 C43" xr:uid="{00000000-0002-0000-0900-000002000000}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5"/>
  <sheetViews>
    <sheetView topLeftCell="A79" zoomScaleNormal="100" zoomScaleSheetLayoutView="100" workbookViewId="0">
      <selection activeCell="F93" sqref="F93"/>
    </sheetView>
  </sheetViews>
  <sheetFormatPr defaultRowHeight="13.8"/>
  <cols>
    <col min="1" max="3" width="19" customWidth="1"/>
  </cols>
  <sheetData>
    <row r="1" spans="1:3" ht="26.1" customHeight="1">
      <c r="A1" s="13" t="s">
        <v>109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 t="s">
        <v>5</v>
      </c>
      <c r="B3" s="9" t="s">
        <v>5</v>
      </c>
      <c r="C3" s="7">
        <v>1</v>
      </c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adet miktarı</v>
      </c>
      <c r="B6" s="10" t="str">
        <f>IF(B3="","Temel birim miktarı",B3&amp;" miktarı")</f>
        <v>adet miktarı</v>
      </c>
      <c r="C6" s="3" t="s">
        <v>9</v>
      </c>
    </row>
    <row r="7" spans="1:3" ht="21" customHeight="1">
      <c r="A7" s="8">
        <v>4</v>
      </c>
      <c r="B7" s="9">
        <v>0</v>
      </c>
      <c r="C7" s="7">
        <f>IF(AND(A7="",B7=""),"",IF(AND(A7&lt;&gt;"",C3=""),"",A7*C3+B7))</f>
        <v>4</v>
      </c>
    </row>
    <row r="8" spans="1:3" ht="12" customHeight="1">
      <c r="A8" s="16"/>
      <c r="B8" s="17"/>
      <c r="C8" s="18"/>
    </row>
    <row r="9" spans="1:3" ht="26.1" customHeight="1">
      <c r="A9" s="13" t="s">
        <v>110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</v>
      </c>
      <c r="B11" s="9" t="s">
        <v>5</v>
      </c>
      <c r="C11" s="7">
        <v>1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adet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2</v>
      </c>
      <c r="B15" s="9"/>
      <c r="C15" s="7">
        <f>IF(AND(A15="",B15=""),"",IF(AND(A15&lt;&gt;"",C11=""),"",A15*C11+B15))</f>
        <v>2</v>
      </c>
    </row>
    <row r="16" spans="1:3" ht="12" customHeight="1">
      <c r="A16" s="16"/>
      <c r="B16" s="17"/>
      <c r="C16" s="18"/>
    </row>
    <row r="17" spans="1:3" ht="26.1" customHeight="1">
      <c r="A17" s="13" t="s">
        <v>111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5</v>
      </c>
      <c r="B19" s="9" t="s">
        <v>5</v>
      </c>
      <c r="C19" s="7">
        <v>1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adet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>
        <v>2</v>
      </c>
      <c r="B23" s="9">
        <v>0</v>
      </c>
      <c r="C23" s="7">
        <f>IF(AND(A23="",B23=""),"",IF(AND(A23&lt;&gt;"",C19=""),"",A23*C19+B23))</f>
        <v>2</v>
      </c>
    </row>
    <row r="24" spans="1:3" ht="12" customHeight="1">
      <c r="A24" s="16"/>
      <c r="B24" s="17"/>
      <c r="C24" s="18"/>
    </row>
    <row r="25" spans="1:3" ht="26.1" customHeight="1">
      <c r="A25" s="13" t="s">
        <v>112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5</v>
      </c>
      <c r="B27" s="9" t="s">
        <v>5</v>
      </c>
      <c r="C27" s="7">
        <v>1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adet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>
        <v>1</v>
      </c>
      <c r="B31" s="9">
        <v>0</v>
      </c>
      <c r="C31" s="7">
        <f>IF(AND(A31="",B31=""),"",IF(AND(A31&lt;&gt;"",C27=""),"",A31*C27+B31))</f>
        <v>1</v>
      </c>
    </row>
    <row r="32" spans="1:3" ht="12" customHeight="1">
      <c r="A32" s="16"/>
      <c r="B32" s="17"/>
      <c r="C32" s="18"/>
    </row>
    <row r="33" spans="1:3" ht="26.1" customHeight="1">
      <c r="A33" s="13" t="s">
        <v>113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5</v>
      </c>
      <c r="B35" s="9" t="s">
        <v>5</v>
      </c>
      <c r="C35" s="7">
        <v>1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adet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>
        <v>1</v>
      </c>
      <c r="B39" s="9">
        <v>0</v>
      </c>
      <c r="C39" s="7">
        <f>IF(AND(A39="",B39=""),"",IF(AND(A39&lt;&gt;"",C35=""),"",A39*C35+B39))</f>
        <v>1</v>
      </c>
    </row>
    <row r="40" spans="1:3" ht="12" customHeight="1">
      <c r="A40" s="16"/>
      <c r="B40" s="17"/>
      <c r="C40" s="18"/>
    </row>
    <row r="41" spans="1:3" ht="26.1" customHeight="1">
      <c r="A41" s="13" t="s">
        <v>114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5</v>
      </c>
      <c r="B43" s="9" t="s">
        <v>5</v>
      </c>
      <c r="C43" s="7">
        <v>1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adet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>
        <v>1</v>
      </c>
      <c r="B47" s="9">
        <v>0</v>
      </c>
      <c r="C47" s="7">
        <f>IF(AND(A47="",B47=""),"",IF(AND(A47&lt;&gt;"",C43=""),"",A47*C43+B47))</f>
        <v>1</v>
      </c>
    </row>
    <row r="48" spans="1:3" ht="12" customHeight="1">
      <c r="A48" s="16"/>
      <c r="B48" s="17"/>
      <c r="C48" s="18"/>
    </row>
    <row r="49" spans="1:3" ht="26.1" customHeight="1">
      <c r="A49" s="13" t="s">
        <v>115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5</v>
      </c>
      <c r="B51" s="9" t="s">
        <v>5</v>
      </c>
      <c r="C51" s="7">
        <v>1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adet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>
        <v>1</v>
      </c>
      <c r="B55" s="9">
        <v>0</v>
      </c>
      <c r="C55" s="7">
        <f>IF(AND(A55="",B55=""),"",IF(AND(A55&lt;&gt;"",C51=""),"",A55*C51+B55))</f>
        <v>1</v>
      </c>
    </row>
    <row r="56" spans="1:3" ht="12" customHeight="1">
      <c r="A56" s="16"/>
      <c r="B56" s="17"/>
      <c r="C56" s="18"/>
    </row>
    <row r="57" spans="1:3" ht="26.1" customHeight="1">
      <c r="A57" s="13" t="s">
        <v>116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 t="s">
        <v>5</v>
      </c>
      <c r="B59" s="9" t="s">
        <v>5</v>
      </c>
      <c r="C59" s="7">
        <v>1</v>
      </c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adet miktarı</v>
      </c>
      <c r="B62" s="10" t="str">
        <f>IF(B59="","Temel birim miktarı",B59&amp;" miktarı")</f>
        <v>adet miktarı</v>
      </c>
      <c r="C62" s="3" t="s">
        <v>9</v>
      </c>
    </row>
    <row r="63" spans="1:3" ht="21" customHeight="1">
      <c r="A63" s="8">
        <v>8</v>
      </c>
      <c r="B63" s="9">
        <v>0</v>
      </c>
      <c r="C63" s="7">
        <f>IF(AND(A63="",B63=""),"",IF(AND(A63&lt;&gt;"",C59=""),"",A63*C59+B63))</f>
        <v>8</v>
      </c>
    </row>
    <row r="64" spans="1:3" ht="12" customHeight="1">
      <c r="A64" s="16"/>
      <c r="B64" s="17"/>
      <c r="C64" s="18"/>
    </row>
    <row r="65" spans="1:3" ht="26.1" customHeight="1">
      <c r="A65" s="13" t="s">
        <v>117</v>
      </c>
      <c r="B65" s="14"/>
      <c r="C65" s="15"/>
    </row>
    <row r="66" spans="1:3" ht="20.100000000000001" customHeight="1">
      <c r="A66" s="2" t="s">
        <v>1</v>
      </c>
      <c r="B66" s="10" t="s">
        <v>2</v>
      </c>
      <c r="C66" s="3" t="s">
        <v>3</v>
      </c>
    </row>
    <row r="67" spans="1:3" ht="21" customHeight="1">
      <c r="A67" s="8" t="s">
        <v>5</v>
      </c>
      <c r="B67" s="9" t="s">
        <v>5</v>
      </c>
      <c r="C67" s="7">
        <v>1</v>
      </c>
    </row>
    <row r="68" spans="1:3" ht="20.100000000000001" customHeight="1">
      <c r="A68" s="2" t="s">
        <v>6</v>
      </c>
      <c r="B68" s="10" t="s">
        <v>7</v>
      </c>
      <c r="C68" s="3" t="s">
        <v>8</v>
      </c>
    </row>
    <row r="69" spans="1:3" ht="21" customHeight="1">
      <c r="A69" s="4">
        <v>5</v>
      </c>
      <c r="B69" s="5">
        <v>10</v>
      </c>
      <c r="C69" s="6">
        <v>20</v>
      </c>
    </row>
    <row r="70" spans="1:3" ht="20.100000000000001" customHeight="1">
      <c r="A70" s="2" t="str">
        <f>IF(A67="","Toplu birim miktarı",A67&amp;" miktarı")</f>
        <v>adet miktarı</v>
      </c>
      <c r="B70" s="10" t="str">
        <f>IF(B67="","Temel birim miktarı",B67&amp;" miktarı")</f>
        <v>adet miktarı</v>
      </c>
      <c r="C70" s="3" t="s">
        <v>9</v>
      </c>
    </row>
    <row r="71" spans="1:3" ht="21" customHeight="1">
      <c r="A71" s="8">
        <v>6</v>
      </c>
      <c r="B71" s="9">
        <v>0</v>
      </c>
      <c r="C71" s="7">
        <f>IF(AND(A71="",B71=""),"",IF(AND(A71&lt;&gt;"",C67=""),"",A71*C67+B71))</f>
        <v>6</v>
      </c>
    </row>
    <row r="72" spans="1:3" ht="12" customHeight="1">
      <c r="A72" s="16"/>
      <c r="B72" s="17"/>
      <c r="C72" s="18"/>
    </row>
    <row r="73" spans="1:3" ht="26.1" customHeight="1">
      <c r="A73" s="13" t="s">
        <v>118</v>
      </c>
      <c r="B73" s="14"/>
      <c r="C73" s="15"/>
    </row>
    <row r="74" spans="1:3" ht="20.100000000000001" customHeight="1">
      <c r="A74" s="2" t="s">
        <v>1</v>
      </c>
      <c r="B74" s="10" t="s">
        <v>2</v>
      </c>
      <c r="C74" s="3" t="s">
        <v>3</v>
      </c>
    </row>
    <row r="75" spans="1:3" ht="21" customHeight="1">
      <c r="A75" s="8" t="s">
        <v>5</v>
      </c>
      <c r="B75" s="9" t="s">
        <v>5</v>
      </c>
      <c r="C75" s="7">
        <v>1</v>
      </c>
    </row>
    <row r="76" spans="1:3" ht="20.100000000000001" customHeight="1">
      <c r="A76" s="2" t="s">
        <v>6</v>
      </c>
      <c r="B76" s="10" t="s">
        <v>7</v>
      </c>
      <c r="C76" s="3" t="s">
        <v>8</v>
      </c>
    </row>
    <row r="77" spans="1:3" ht="21" customHeight="1">
      <c r="A77" s="4">
        <v>5</v>
      </c>
      <c r="B77" s="5">
        <v>10</v>
      </c>
      <c r="C77" s="6">
        <v>20</v>
      </c>
    </row>
    <row r="78" spans="1:3" ht="20.100000000000001" customHeight="1">
      <c r="A78" s="2" t="str">
        <f>IF(A75="","Toplu birim miktarı",A75&amp;" miktarı")</f>
        <v>adet miktarı</v>
      </c>
      <c r="B78" s="10" t="str">
        <f>IF(B75="","Temel birim miktarı",B75&amp;" miktarı")</f>
        <v>adet miktarı</v>
      </c>
      <c r="C78" s="3" t="s">
        <v>9</v>
      </c>
    </row>
    <row r="79" spans="1:3" ht="21" customHeight="1">
      <c r="A79" s="8">
        <v>2</v>
      </c>
      <c r="B79" s="9">
        <v>0</v>
      </c>
      <c r="C79" s="7">
        <f>IF(AND(A79="",B79=""),"",IF(AND(A79&lt;&gt;"",C75=""),"",A79*C75+B79))</f>
        <v>2</v>
      </c>
    </row>
    <row r="80" spans="1:3" ht="6.9" customHeight="1"/>
    <row r="81" spans="1:3" ht="16.8">
      <c r="A81" s="13" t="s">
        <v>119</v>
      </c>
      <c r="B81" s="14"/>
      <c r="C81" s="15"/>
    </row>
    <row r="82" spans="1:3">
      <c r="A82" s="2" t="s">
        <v>1</v>
      </c>
      <c r="B82" s="10" t="s">
        <v>2</v>
      </c>
      <c r="C82" s="3" t="s">
        <v>3</v>
      </c>
    </row>
    <row r="83" spans="1:3">
      <c r="A83" s="8" t="s">
        <v>34</v>
      </c>
      <c r="B83" s="9" t="s">
        <v>34</v>
      </c>
      <c r="C83" s="7">
        <v>1</v>
      </c>
    </row>
    <row r="84" spans="1:3">
      <c r="A84" s="2" t="s">
        <v>6</v>
      </c>
      <c r="B84" s="10" t="s">
        <v>7</v>
      </c>
      <c r="C84" s="3" t="s">
        <v>8</v>
      </c>
    </row>
    <row r="85" spans="1:3">
      <c r="A85" s="4">
        <v>5</v>
      </c>
      <c r="B85" s="5">
        <v>10</v>
      </c>
      <c r="C85" s="6">
        <v>20</v>
      </c>
    </row>
    <row r="86" spans="1:3">
      <c r="A86" s="2" t="str">
        <f>IF(A83="","Toplu birim miktarı",A83&amp;" miktarı")</f>
        <v>paket miktarı</v>
      </c>
      <c r="B86" s="10" t="str">
        <f>IF(B83="","Temel birim miktarı",B83&amp;" miktarı")</f>
        <v>paket miktarı</v>
      </c>
      <c r="C86" s="3" t="s">
        <v>9</v>
      </c>
    </row>
    <row r="87" spans="1:3">
      <c r="A87" s="8">
        <v>5</v>
      </c>
      <c r="B87" s="9">
        <v>0</v>
      </c>
      <c r="C87" s="7">
        <f>IF(AND(A87="",B87=""),"",IF(AND(A87&lt;&gt;"",C83=""),"",A87*C83+B87))</f>
        <v>5</v>
      </c>
    </row>
    <row r="89" spans="1:3" ht="16.8">
      <c r="A89" s="13" t="s">
        <v>120</v>
      </c>
      <c r="B89" s="14"/>
      <c r="C89" s="15"/>
    </row>
    <row r="90" spans="1:3">
      <c r="A90" s="2" t="s">
        <v>1</v>
      </c>
      <c r="B90" s="10" t="s">
        <v>2</v>
      </c>
      <c r="C90" s="3" t="s">
        <v>3</v>
      </c>
    </row>
    <row r="91" spans="1:3">
      <c r="A91" s="8" t="s">
        <v>34</v>
      </c>
      <c r="B91" s="9" t="s">
        <v>34</v>
      </c>
      <c r="C91" s="7">
        <v>1</v>
      </c>
    </row>
    <row r="92" spans="1:3">
      <c r="A92" s="2" t="s">
        <v>6</v>
      </c>
      <c r="B92" s="10" t="s">
        <v>7</v>
      </c>
      <c r="C92" s="3" t="s">
        <v>8</v>
      </c>
    </row>
    <row r="93" spans="1:3">
      <c r="A93" s="4">
        <v>5</v>
      </c>
      <c r="B93" s="5">
        <v>10</v>
      </c>
      <c r="C93" s="6">
        <v>20</v>
      </c>
    </row>
    <row r="94" spans="1:3">
      <c r="A94" s="2" t="str">
        <f>IF(A91="","Toplu birim miktarı",A91&amp;" miktarı")</f>
        <v>paket miktarı</v>
      </c>
      <c r="B94" s="10" t="str">
        <f>IF(B91="","Temel birim miktarı",B91&amp;" miktarı")</f>
        <v>paket miktarı</v>
      </c>
      <c r="C94" s="3" t="s">
        <v>9</v>
      </c>
    </row>
    <row r="95" spans="1:3">
      <c r="A95" s="8">
        <v>0</v>
      </c>
      <c r="B95" s="9">
        <v>0</v>
      </c>
      <c r="C95" s="7">
        <f>IF(AND(A95="",B95=""),"",IF(AND(A95&lt;&gt;"",C91=""),"",A95*C91+B95))</f>
        <v>0</v>
      </c>
    </row>
  </sheetData>
  <mergeCells count="21">
    <mergeCell ref="A72:C72"/>
    <mergeCell ref="A41:C41"/>
    <mergeCell ref="A49:C49"/>
    <mergeCell ref="A57:C57"/>
    <mergeCell ref="A65:C65"/>
    <mergeCell ref="A81:C81"/>
    <mergeCell ref="A89:C89"/>
    <mergeCell ref="A73:C73"/>
    <mergeCell ref="A1:C1"/>
    <mergeCell ref="A9:C9"/>
    <mergeCell ref="A17:C17"/>
    <mergeCell ref="A25:C25"/>
    <mergeCell ref="A33:C33"/>
    <mergeCell ref="A8:C8"/>
    <mergeCell ref="A16:C16"/>
    <mergeCell ref="A24:C24"/>
    <mergeCell ref="A32:C32"/>
    <mergeCell ref="A40:C40"/>
    <mergeCell ref="A48:C48"/>
    <mergeCell ref="A56:C56"/>
    <mergeCell ref="A64:C64"/>
  </mergeCells>
  <dataValidations count="3">
    <dataValidation type="list" sqref="A3 A75 A67 A59 A51 A43 A35 A27 A19 A11 A83 A91" xr:uid="{00000000-0002-0000-0A00-000000000000}">
      <formula1>"koli,kasa,paket,kutu,çuval,adet"</formula1>
    </dataValidation>
    <dataValidation type="list" sqref="B3 B75 B67 B59 B51 B43 B35 B27 B19 B11 B83 B91" xr:uid="{00000000-0002-0000-0A00-000001000000}">
      <formula1>"adet,şişe,litre,ml,kg,gr,metre,koli,paket,kutu"</formula1>
    </dataValidation>
    <dataValidation type="decimal" operator="greaterThan" sqref="C3 C75 C67 C59 C51 C43 C35 C27 C19 C11 C83 C91" xr:uid="{00000000-0002-0000-0A00-000002000000}">
      <formula1>0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4"/>
  <sheetViews>
    <sheetView topLeftCell="A17" zoomScaleNormal="100" zoomScaleSheetLayoutView="100" workbookViewId="0">
      <selection activeCell="A37" sqref="A37"/>
    </sheetView>
  </sheetViews>
  <sheetFormatPr defaultRowHeight="13.8"/>
  <cols>
    <col min="1" max="3" width="19" customWidth="1"/>
  </cols>
  <sheetData>
    <row r="1" spans="1:3" ht="26.1" customHeight="1">
      <c r="A1" s="13" t="s">
        <v>121</v>
      </c>
      <c r="B1" s="14"/>
      <c r="C1" s="15"/>
    </row>
    <row r="2" spans="1:3" ht="20.100000000000001" customHeight="1">
      <c r="A2" s="2" t="s">
        <v>1</v>
      </c>
      <c r="B2" s="10" t="s">
        <v>2</v>
      </c>
      <c r="C2" s="3" t="s">
        <v>3</v>
      </c>
    </row>
    <row r="3" spans="1:3" ht="21" customHeight="1">
      <c r="A3" s="8"/>
      <c r="B3" s="9"/>
      <c r="C3" s="7"/>
    </row>
    <row r="4" spans="1:3" ht="20.100000000000001" customHeight="1">
      <c r="A4" s="2" t="s">
        <v>6</v>
      </c>
      <c r="B4" s="10" t="s">
        <v>7</v>
      </c>
      <c r="C4" s="3" t="s">
        <v>8</v>
      </c>
    </row>
    <row r="5" spans="1:3" ht="21" customHeight="1">
      <c r="A5" s="4">
        <v>5</v>
      </c>
      <c r="B5" s="5">
        <v>10</v>
      </c>
      <c r="C5" s="6">
        <v>20</v>
      </c>
    </row>
    <row r="6" spans="1:3" ht="20.100000000000001" customHeight="1">
      <c r="A6" s="2" t="str">
        <f>IF(A3="","Toplu birim miktarı",A3&amp;" miktarı")</f>
        <v>Toplu birim miktarı</v>
      </c>
      <c r="B6" s="10" t="str">
        <f>IF(B3="","Temel birim miktarı",B3&amp;" miktarı")</f>
        <v>Temel birim miktarı</v>
      </c>
      <c r="C6" s="3" t="s">
        <v>9</v>
      </c>
    </row>
    <row r="7" spans="1:3" ht="21" customHeight="1">
      <c r="A7" s="8"/>
      <c r="B7" s="9">
        <v>7</v>
      </c>
      <c r="C7" s="7">
        <f>IF(AND(A7="",B7=""),"",IF(AND(A7&lt;&gt;"",C3=""),"",A7*C3+B7))</f>
        <v>7</v>
      </c>
    </row>
    <row r="8" spans="1:3" ht="12" customHeight="1">
      <c r="A8" s="16"/>
      <c r="B8" s="17"/>
      <c r="C8" s="18"/>
    </row>
    <row r="9" spans="1:3" ht="26.1" customHeight="1">
      <c r="A9" s="13" t="s">
        <v>111</v>
      </c>
      <c r="B9" s="14"/>
      <c r="C9" s="15"/>
    </row>
    <row r="10" spans="1:3" ht="20.100000000000001" customHeight="1">
      <c r="A10" s="2" t="s">
        <v>1</v>
      </c>
      <c r="B10" s="10" t="s">
        <v>2</v>
      </c>
      <c r="C10" s="3" t="s">
        <v>3</v>
      </c>
    </row>
    <row r="11" spans="1:3" ht="21" customHeight="1">
      <c r="A11" s="8" t="s">
        <v>55</v>
      </c>
      <c r="B11" s="9" t="s">
        <v>5</v>
      </c>
      <c r="C11" s="7">
        <v>6</v>
      </c>
    </row>
    <row r="12" spans="1:3" ht="20.100000000000001" customHeight="1">
      <c r="A12" s="2" t="s">
        <v>6</v>
      </c>
      <c r="B12" s="10" t="s">
        <v>7</v>
      </c>
      <c r="C12" s="3" t="s">
        <v>8</v>
      </c>
    </row>
    <row r="13" spans="1:3" ht="21" customHeight="1">
      <c r="A13" s="4">
        <v>5</v>
      </c>
      <c r="B13" s="5">
        <v>10</v>
      </c>
      <c r="C13" s="6">
        <v>20</v>
      </c>
    </row>
    <row r="14" spans="1:3" ht="20.100000000000001" customHeight="1">
      <c r="A14" s="2" t="str">
        <f>IF(A11="","Toplu birim miktarı",A11&amp;" miktarı")</f>
        <v>kutu miktarı</v>
      </c>
      <c r="B14" s="10" t="str">
        <f>IF(B11="","Temel birim miktarı",B11&amp;" miktarı")</f>
        <v>adet miktarı</v>
      </c>
      <c r="C14" s="3" t="s">
        <v>9</v>
      </c>
    </row>
    <row r="15" spans="1:3" ht="21" customHeight="1">
      <c r="A15" s="8">
        <v>1</v>
      </c>
      <c r="B15" s="9">
        <v>5</v>
      </c>
      <c r="C15" s="7">
        <f>IF(AND(A15="",B15=""),"",IF(AND(A15&lt;&gt;"",C11=""),"",A15*C11+B15))</f>
        <v>11</v>
      </c>
    </row>
    <row r="16" spans="1:3" ht="12" customHeight="1">
      <c r="A16" s="16"/>
      <c r="B16" s="17"/>
      <c r="C16" s="18"/>
    </row>
    <row r="17" spans="1:3" ht="26.1" customHeight="1">
      <c r="A17" s="13" t="s">
        <v>122</v>
      </c>
      <c r="B17" s="14"/>
      <c r="C17" s="15"/>
    </row>
    <row r="18" spans="1:3" ht="20.100000000000001" customHeight="1">
      <c r="A18" s="2" t="s">
        <v>1</v>
      </c>
      <c r="B18" s="10" t="s">
        <v>2</v>
      </c>
      <c r="C18" s="3" t="s">
        <v>3</v>
      </c>
    </row>
    <row r="19" spans="1:3" ht="21" customHeight="1">
      <c r="A19" s="8" t="s">
        <v>55</v>
      </c>
      <c r="B19" s="9" t="s">
        <v>5</v>
      </c>
      <c r="C19" s="7">
        <v>6</v>
      </c>
    </row>
    <row r="20" spans="1:3" ht="20.100000000000001" customHeight="1">
      <c r="A20" s="2" t="s">
        <v>6</v>
      </c>
      <c r="B20" s="10" t="s">
        <v>7</v>
      </c>
      <c r="C20" s="3" t="s">
        <v>8</v>
      </c>
    </row>
    <row r="21" spans="1:3" ht="21" customHeight="1">
      <c r="A21" s="4">
        <v>5</v>
      </c>
      <c r="B21" s="5">
        <v>10</v>
      </c>
      <c r="C21" s="6">
        <v>20</v>
      </c>
    </row>
    <row r="22" spans="1:3" ht="20.100000000000001" customHeight="1">
      <c r="A22" s="2" t="str">
        <f>IF(A19="","Toplu birim miktarı",A19&amp;" miktarı")</f>
        <v>kutu miktarı</v>
      </c>
      <c r="B22" s="10" t="str">
        <f>IF(B19="","Temel birim miktarı",B19&amp;" miktarı")</f>
        <v>adet miktarı</v>
      </c>
      <c r="C22" s="3" t="s">
        <v>9</v>
      </c>
    </row>
    <row r="23" spans="1:3" ht="21" customHeight="1">
      <c r="A23" s="8"/>
      <c r="B23" s="9">
        <v>4</v>
      </c>
      <c r="C23" s="7">
        <f>IF(AND(A23="",B23=""),"",IF(AND(A23&lt;&gt;"",C19=""),"",A23*C19+B23))</f>
        <v>4</v>
      </c>
    </row>
    <row r="24" spans="1:3" ht="12" customHeight="1">
      <c r="A24" s="16"/>
      <c r="B24" s="17"/>
      <c r="C24" s="18"/>
    </row>
    <row r="25" spans="1:3" ht="26.1" customHeight="1">
      <c r="A25" s="13" t="s">
        <v>123</v>
      </c>
      <c r="B25" s="14"/>
      <c r="C25" s="15"/>
    </row>
    <row r="26" spans="1:3" ht="20.100000000000001" customHeight="1">
      <c r="A26" s="2" t="s">
        <v>1</v>
      </c>
      <c r="B26" s="10" t="s">
        <v>2</v>
      </c>
      <c r="C26" s="3" t="s">
        <v>3</v>
      </c>
    </row>
    <row r="27" spans="1:3" ht="21" customHeight="1">
      <c r="A27" s="8" t="s">
        <v>55</v>
      </c>
      <c r="B27" s="9" t="s">
        <v>5</v>
      </c>
      <c r="C27" s="7">
        <v>6</v>
      </c>
    </row>
    <row r="28" spans="1:3" ht="20.100000000000001" customHeight="1">
      <c r="A28" s="2" t="s">
        <v>6</v>
      </c>
      <c r="B28" s="10" t="s">
        <v>7</v>
      </c>
      <c r="C28" s="3" t="s">
        <v>8</v>
      </c>
    </row>
    <row r="29" spans="1:3" ht="21" customHeight="1">
      <c r="A29" s="4">
        <v>5</v>
      </c>
      <c r="B29" s="5">
        <v>10</v>
      </c>
      <c r="C29" s="6">
        <v>20</v>
      </c>
    </row>
    <row r="30" spans="1:3" ht="20.100000000000001" customHeight="1">
      <c r="A30" s="2" t="str">
        <f>IF(A27="","Toplu birim miktarı",A27&amp;" miktarı")</f>
        <v>kutu miktarı</v>
      </c>
      <c r="B30" s="10" t="str">
        <f>IF(B27="","Temel birim miktarı",B27&amp;" miktarı")</f>
        <v>adet miktarı</v>
      </c>
      <c r="C30" s="3" t="s">
        <v>9</v>
      </c>
    </row>
    <row r="31" spans="1:3" ht="21" customHeight="1">
      <c r="A31" s="8"/>
      <c r="B31" s="9">
        <v>4</v>
      </c>
      <c r="C31" s="7">
        <f>IF(AND(A31="",B31=""),"",IF(AND(A31&lt;&gt;"",C27=""),"",A31*C27+B31))</f>
        <v>4</v>
      </c>
    </row>
    <row r="32" spans="1:3" ht="12" customHeight="1">
      <c r="A32" s="16"/>
      <c r="B32" s="17"/>
      <c r="C32" s="18"/>
    </row>
    <row r="33" spans="1:3" ht="26.1" customHeight="1">
      <c r="A33" s="13" t="s">
        <v>124</v>
      </c>
      <c r="B33" s="14"/>
      <c r="C33" s="15"/>
    </row>
    <row r="34" spans="1:3" ht="20.100000000000001" customHeight="1">
      <c r="A34" s="2" t="s">
        <v>1</v>
      </c>
      <c r="B34" s="10" t="s">
        <v>2</v>
      </c>
      <c r="C34" s="3" t="s">
        <v>3</v>
      </c>
    </row>
    <row r="35" spans="1:3" ht="21" customHeight="1">
      <c r="A35" s="8" t="s">
        <v>55</v>
      </c>
      <c r="B35" s="9" t="s">
        <v>5</v>
      </c>
      <c r="C35" s="7">
        <v>6</v>
      </c>
    </row>
    <row r="36" spans="1:3" ht="20.100000000000001" customHeight="1">
      <c r="A36" s="2" t="s">
        <v>6</v>
      </c>
      <c r="B36" s="10" t="s">
        <v>7</v>
      </c>
      <c r="C36" s="3" t="s">
        <v>8</v>
      </c>
    </row>
    <row r="37" spans="1:3" ht="21" customHeight="1">
      <c r="A37" s="4">
        <v>5</v>
      </c>
      <c r="B37" s="5">
        <v>10</v>
      </c>
      <c r="C37" s="6">
        <v>20</v>
      </c>
    </row>
    <row r="38" spans="1:3" ht="20.100000000000001" customHeight="1">
      <c r="A38" s="2" t="str">
        <f>IF(A35="","Toplu birim miktarı",A35&amp;" miktarı")</f>
        <v>kutu miktarı</v>
      </c>
      <c r="B38" s="10" t="str">
        <f>IF(B35="","Temel birim miktarı",B35&amp;" miktarı")</f>
        <v>adet miktarı</v>
      </c>
      <c r="C38" s="3" t="s">
        <v>9</v>
      </c>
    </row>
    <row r="39" spans="1:3" ht="21" customHeight="1">
      <c r="A39" s="8">
        <v>1</v>
      </c>
      <c r="B39" s="9">
        <v>0</v>
      </c>
      <c r="C39" s="7">
        <f>IF(AND(A39="",B39=""),"",IF(AND(A39&lt;&gt;"",C35=""),"",A39*C35+B39))</f>
        <v>6</v>
      </c>
    </row>
    <row r="40" spans="1:3" ht="12" customHeight="1">
      <c r="A40" s="16"/>
      <c r="B40" s="17"/>
      <c r="C40" s="18"/>
    </row>
    <row r="41" spans="1:3" ht="26.1" customHeight="1">
      <c r="A41" s="13" t="s">
        <v>125</v>
      </c>
      <c r="B41" s="14"/>
      <c r="C41" s="15"/>
    </row>
    <row r="42" spans="1:3" ht="20.100000000000001" customHeight="1">
      <c r="A42" s="2" t="s">
        <v>1</v>
      </c>
      <c r="B42" s="10" t="s">
        <v>2</v>
      </c>
      <c r="C42" s="3" t="s">
        <v>3</v>
      </c>
    </row>
    <row r="43" spans="1:3" ht="21" customHeight="1">
      <c r="A43" s="8" t="s">
        <v>55</v>
      </c>
      <c r="B43" s="9" t="s">
        <v>5</v>
      </c>
      <c r="C43" s="7">
        <v>6</v>
      </c>
    </row>
    <row r="44" spans="1:3" ht="20.100000000000001" customHeight="1">
      <c r="A44" s="2" t="s">
        <v>6</v>
      </c>
      <c r="B44" s="10" t="s">
        <v>7</v>
      </c>
      <c r="C44" s="3" t="s">
        <v>8</v>
      </c>
    </row>
    <row r="45" spans="1:3" ht="21" customHeight="1">
      <c r="A45" s="4">
        <v>5</v>
      </c>
      <c r="B45" s="5">
        <v>10</v>
      </c>
      <c r="C45" s="6">
        <v>20</v>
      </c>
    </row>
    <row r="46" spans="1:3" ht="20.100000000000001" customHeight="1">
      <c r="A46" s="2" t="str">
        <f>IF(A43="","Toplu birim miktarı",A43&amp;" miktarı")</f>
        <v>kutu miktarı</v>
      </c>
      <c r="B46" s="10" t="str">
        <f>IF(B43="","Temel birim miktarı",B43&amp;" miktarı")</f>
        <v>adet miktarı</v>
      </c>
      <c r="C46" s="3" t="s">
        <v>9</v>
      </c>
    </row>
    <row r="47" spans="1:3" ht="21" customHeight="1">
      <c r="A47" s="8"/>
      <c r="B47" s="9">
        <v>3</v>
      </c>
      <c r="C47" s="7">
        <f>IF(AND(A47="",B47=""),"",IF(AND(A47&lt;&gt;"",C43=""),"",A47*C43+B47))</f>
        <v>3</v>
      </c>
    </row>
    <row r="48" spans="1:3" ht="12" customHeight="1">
      <c r="A48" s="16"/>
      <c r="B48" s="17"/>
      <c r="C48" s="18"/>
    </row>
    <row r="49" spans="1:3" ht="26.1" customHeight="1">
      <c r="A49" s="13" t="s">
        <v>112</v>
      </c>
      <c r="B49" s="14"/>
      <c r="C49" s="15"/>
    </row>
    <row r="50" spans="1:3" ht="20.100000000000001" customHeight="1">
      <c r="A50" s="2" t="s">
        <v>1</v>
      </c>
      <c r="B50" s="10" t="s">
        <v>2</v>
      </c>
      <c r="C50" s="3" t="s">
        <v>3</v>
      </c>
    </row>
    <row r="51" spans="1:3" ht="21" customHeight="1">
      <c r="A51" s="8" t="s">
        <v>55</v>
      </c>
      <c r="B51" s="9" t="s">
        <v>5</v>
      </c>
      <c r="C51" s="7">
        <v>6</v>
      </c>
    </row>
    <row r="52" spans="1:3" ht="20.100000000000001" customHeight="1">
      <c r="A52" s="2" t="s">
        <v>6</v>
      </c>
      <c r="B52" s="10" t="s">
        <v>7</v>
      </c>
      <c r="C52" s="3" t="s">
        <v>8</v>
      </c>
    </row>
    <row r="53" spans="1:3" ht="21" customHeight="1">
      <c r="A53" s="4">
        <v>5</v>
      </c>
      <c r="B53" s="5">
        <v>10</v>
      </c>
      <c r="C53" s="6">
        <v>20</v>
      </c>
    </row>
    <row r="54" spans="1:3" ht="20.100000000000001" customHeight="1">
      <c r="A54" s="2" t="str">
        <f>IF(A51="","Toplu birim miktarı",A51&amp;" miktarı")</f>
        <v>kutu miktarı</v>
      </c>
      <c r="B54" s="10" t="str">
        <f>IF(B51="","Temel birim miktarı",B51&amp;" miktarı")</f>
        <v>adet miktarı</v>
      </c>
      <c r="C54" s="3" t="s">
        <v>9</v>
      </c>
    </row>
    <row r="55" spans="1:3" ht="21" customHeight="1">
      <c r="A55" s="8">
        <v>1</v>
      </c>
      <c r="B55" s="9"/>
      <c r="C55" s="7">
        <f>IF(AND(A55="",B55=""),"",IF(AND(A55&lt;&gt;"",C51=""),"",A55*C51+B55))</f>
        <v>6</v>
      </c>
    </row>
    <row r="56" spans="1:3" ht="12" customHeight="1">
      <c r="A56" s="16"/>
      <c r="B56" s="17"/>
      <c r="C56" s="18"/>
    </row>
    <row r="57" spans="1:3" ht="26.1" customHeight="1">
      <c r="A57" s="13" t="s">
        <v>126</v>
      </c>
      <c r="B57" s="14"/>
      <c r="C57" s="15"/>
    </row>
    <row r="58" spans="1:3" ht="20.100000000000001" customHeight="1">
      <c r="A58" s="2" t="s">
        <v>1</v>
      </c>
      <c r="B58" s="10" t="s">
        <v>2</v>
      </c>
      <c r="C58" s="3" t="s">
        <v>3</v>
      </c>
    </row>
    <row r="59" spans="1:3" ht="21" customHeight="1">
      <c r="A59" s="8"/>
      <c r="B59" s="9"/>
      <c r="C59" s="7"/>
    </row>
    <row r="60" spans="1:3" ht="20.100000000000001" customHeight="1">
      <c r="A60" s="2" t="s">
        <v>6</v>
      </c>
      <c r="B60" s="10" t="s">
        <v>7</v>
      </c>
      <c r="C60" s="3" t="s">
        <v>8</v>
      </c>
    </row>
    <row r="61" spans="1:3" ht="21" customHeight="1">
      <c r="A61" s="4">
        <v>5</v>
      </c>
      <c r="B61" s="5">
        <v>10</v>
      </c>
      <c r="C61" s="6">
        <v>20</v>
      </c>
    </row>
    <row r="62" spans="1:3" ht="20.100000000000001" customHeight="1">
      <c r="A62" s="2" t="str">
        <f>IF(A59="","Toplu birim miktarı",A59&amp;" miktarı")</f>
        <v>Toplu birim miktarı</v>
      </c>
      <c r="B62" s="10" t="str">
        <f>IF(B59="","Temel birim miktarı",B59&amp;" miktarı")</f>
        <v>Temel birim miktarı</v>
      </c>
      <c r="C62" s="3" t="s">
        <v>9</v>
      </c>
    </row>
    <row r="63" spans="1:3" ht="21" customHeight="1">
      <c r="A63" s="8"/>
      <c r="B63" s="9">
        <v>5</v>
      </c>
      <c r="C63" s="7">
        <f>IF(AND(A63="",B63=""),"",IF(AND(A63&lt;&gt;"",C59=""),"",A63*C59+B63))</f>
        <v>5</v>
      </c>
    </row>
    <row r="64" spans="1:3" ht="6.9" customHeight="1"/>
  </sheetData>
  <mergeCells count="15">
    <mergeCell ref="A1:C1"/>
    <mergeCell ref="A9:C9"/>
    <mergeCell ref="A17:C17"/>
    <mergeCell ref="A25:C25"/>
    <mergeCell ref="A33:C33"/>
    <mergeCell ref="A41:C41"/>
    <mergeCell ref="A49:C49"/>
    <mergeCell ref="A57:C57"/>
    <mergeCell ref="A8:C8"/>
    <mergeCell ref="A16:C16"/>
    <mergeCell ref="A24:C24"/>
    <mergeCell ref="A32:C32"/>
    <mergeCell ref="A40:C40"/>
    <mergeCell ref="A48:C48"/>
    <mergeCell ref="A56:C56"/>
  </mergeCells>
  <dataValidations count="3">
    <dataValidation type="list" sqref="A3 A59 A51 A43 A35 A27 A19 A11" xr:uid="{00000000-0002-0000-0B00-000000000000}">
      <formula1>"koli,kasa,paket,kutu,çuval,adet"</formula1>
    </dataValidation>
    <dataValidation type="list" sqref="B3 B59 B51 B43 B35 B27 B19 B11" xr:uid="{00000000-0002-0000-0B00-000001000000}">
      <formula1>"adet,şişe,litre,ml,kg,gr,metre,koli,paket,kutu"</formula1>
    </dataValidation>
    <dataValidation type="decimal" operator="greaterThan" sqref="C3 C59 C51 C43 C35 C27 C19 C11" xr:uid="{00000000-0002-0000-0B00-000002000000}">
      <formula1>0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zoomScaleNormal="100" zoomScaleSheetLayoutView="100" workbookViewId="0">
      <selection activeCell="L20" sqref="L20"/>
    </sheetView>
  </sheetViews>
  <sheetFormatPr defaultRowHeight="13.8"/>
  <cols>
    <col min="1" max="3" width="18" customWidth="1"/>
  </cols>
  <sheetData>
    <row r="1" spans="1:3" ht="26.1" customHeight="1">
      <c r="A1" s="13" t="s">
        <v>127</v>
      </c>
      <c r="B1" s="14"/>
      <c r="C1" s="15"/>
    </row>
    <row r="2" spans="1:3" ht="15" customHeight="1">
      <c r="A2" s="2" t="s">
        <v>1</v>
      </c>
      <c r="B2" s="10" t="s">
        <v>2</v>
      </c>
      <c r="C2" s="3" t="s">
        <v>3</v>
      </c>
    </row>
    <row r="3" spans="1:3" ht="15" customHeight="1">
      <c r="A3" s="8" t="s">
        <v>4</v>
      </c>
      <c r="B3" s="9" t="s">
        <v>5</v>
      </c>
      <c r="C3" s="7">
        <v>14</v>
      </c>
    </row>
    <row r="4" spans="1:3" ht="15" customHeight="1">
      <c r="A4" s="2" t="s">
        <v>6</v>
      </c>
      <c r="B4" s="10" t="s">
        <v>7</v>
      </c>
      <c r="C4" s="3" t="s">
        <v>8</v>
      </c>
    </row>
    <row r="5" spans="1:3" ht="15" customHeight="1">
      <c r="A5" s="4">
        <v>5</v>
      </c>
      <c r="B5" s="5">
        <v>10</v>
      </c>
      <c r="C5" s="6">
        <v>20</v>
      </c>
    </row>
    <row r="6" spans="1:3" ht="15" customHeight="1">
      <c r="A6" s="2" t="str">
        <f>IF(A3="","Toplu birim miktarı",A3&amp;" miktarı")</f>
        <v>koli miktarı</v>
      </c>
      <c r="B6" s="10" t="str">
        <f>IF(B3="","Temel birim miktarı",B3&amp;" miktarı")</f>
        <v>adet miktarı</v>
      </c>
      <c r="C6" s="3" t="s">
        <v>9</v>
      </c>
    </row>
    <row r="7" spans="1:3" ht="15" customHeight="1">
      <c r="A7" s="8">
        <v>1</v>
      </c>
      <c r="B7" s="9">
        <v>12</v>
      </c>
      <c r="C7" s="7">
        <f>IF(AND(A7="",B7=""),"",IF(AND(A7&lt;&gt;"",C3=""),"",A7*C3+B7))</f>
        <v>26</v>
      </c>
    </row>
    <row r="9" spans="1:3" ht="16.8">
      <c r="A9" s="13" t="s">
        <v>128</v>
      </c>
      <c r="B9" s="14"/>
      <c r="C9" s="15"/>
    </row>
    <row r="10" spans="1:3">
      <c r="A10" s="2" t="s">
        <v>1</v>
      </c>
      <c r="B10" s="10" t="s">
        <v>2</v>
      </c>
      <c r="C10" s="3" t="s">
        <v>3</v>
      </c>
    </row>
    <row r="11" spans="1:3">
      <c r="A11" s="8" t="s">
        <v>4</v>
      </c>
      <c r="B11" s="9" t="s">
        <v>5</v>
      </c>
      <c r="C11" s="7">
        <v>28</v>
      </c>
    </row>
    <row r="12" spans="1:3">
      <c r="A12" s="2" t="s">
        <v>6</v>
      </c>
      <c r="B12" s="10" t="s">
        <v>7</v>
      </c>
      <c r="C12" s="3" t="s">
        <v>8</v>
      </c>
    </row>
    <row r="13" spans="1:3">
      <c r="A13" s="4">
        <v>5</v>
      </c>
      <c r="B13" s="5">
        <v>10</v>
      </c>
      <c r="C13" s="6">
        <v>20</v>
      </c>
    </row>
    <row r="14" spans="1:3">
      <c r="A14" s="2" t="str">
        <f>IF(A11="","Toplu birim miktarı",A11&amp;" miktarı")</f>
        <v>koli miktarı</v>
      </c>
      <c r="B14" s="10" t="str">
        <f>IF(B11="","Temel birim miktarı",B11&amp;" miktarı")</f>
        <v>adet miktarı</v>
      </c>
      <c r="C14" s="3" t="s">
        <v>9</v>
      </c>
    </row>
    <row r="15" spans="1:3">
      <c r="A15" s="8">
        <v>1</v>
      </c>
      <c r="B15" s="9">
        <v>0</v>
      </c>
      <c r="C15" s="7">
        <f>IF(AND(A15="",B15=""),"",IF(AND(A15&lt;&gt;"",C11=""),"",A15*C11+B15))</f>
        <v>28</v>
      </c>
    </row>
    <row r="17" spans="1:3" ht="16.8">
      <c r="A17" s="13" t="s">
        <v>129</v>
      </c>
      <c r="B17" s="14"/>
      <c r="C17" s="15"/>
    </row>
    <row r="18" spans="1:3">
      <c r="A18" s="2" t="s">
        <v>1</v>
      </c>
      <c r="B18" s="10" t="s">
        <v>2</v>
      </c>
      <c r="C18" s="3" t="s">
        <v>3</v>
      </c>
    </row>
    <row r="19" spans="1:3">
      <c r="A19" s="8" t="s">
        <v>4</v>
      </c>
      <c r="B19" s="9" t="s">
        <v>4</v>
      </c>
      <c r="C19" s="7">
        <v>1</v>
      </c>
    </row>
    <row r="20" spans="1:3">
      <c r="A20" s="2" t="s">
        <v>6</v>
      </c>
      <c r="B20" s="10" t="s">
        <v>7</v>
      </c>
      <c r="C20" s="3" t="s">
        <v>8</v>
      </c>
    </row>
    <row r="21" spans="1:3">
      <c r="A21" s="4">
        <v>5</v>
      </c>
      <c r="B21" s="5">
        <v>10</v>
      </c>
      <c r="C21" s="6">
        <v>20</v>
      </c>
    </row>
    <row r="22" spans="1:3">
      <c r="A22" s="2" t="str">
        <f>IF(A19="","Toplu birim miktarı",A19&amp;" miktarı")</f>
        <v>koli miktarı</v>
      </c>
      <c r="B22" s="10" t="str">
        <f>IF(B19="","Temel birim miktarı",B19&amp;" miktarı")</f>
        <v>koli miktarı</v>
      </c>
      <c r="C22" s="3" t="s">
        <v>9</v>
      </c>
    </row>
    <row r="23" spans="1:3">
      <c r="A23" s="8">
        <v>1</v>
      </c>
      <c r="B23" s="9">
        <v>0</v>
      </c>
      <c r="C23" s="7">
        <f>IF(AND(A23="",B23=""),"",IF(AND(A23&lt;&gt;"",C19=""),"",A23*C19+B23))</f>
        <v>1</v>
      </c>
    </row>
  </sheetData>
  <mergeCells count="3">
    <mergeCell ref="A1:C1"/>
    <mergeCell ref="A9:C9"/>
    <mergeCell ref="A17:C17"/>
  </mergeCells>
  <dataValidations count="3">
    <dataValidation type="decimal" operator="greaterThan" sqref="C3 C11 C19" xr:uid="{8EF5698A-C2E1-401E-85D9-704F54240B93}">
      <formula1>0</formula1>
    </dataValidation>
    <dataValidation type="list" sqref="B3 B11 B19" xr:uid="{8719EAFA-3250-47FE-978E-5D65C5A86662}">
      <formula1>"adet,şişe,litre,ml,kg,gr,metre,koli,paket,kutu"</formula1>
    </dataValidation>
    <dataValidation type="list" sqref="A3 A11 A19" xr:uid="{2D0EB967-5C94-479A-AFF8-05AAB3832642}">
      <formula1>"koli,kasa,paket,kutu,çuval,adet"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7"/>
  <sheetViews>
    <sheetView zoomScaleNormal="100" zoomScaleSheetLayoutView="100" workbookViewId="0"/>
  </sheetViews>
  <sheetFormatPr defaultRowHeight="13.8"/>
  <cols>
    <col min="1" max="4" width="24" customWidth="1"/>
  </cols>
  <sheetData>
    <row r="1" spans="1:4">
      <c r="A1" s="11" t="s">
        <v>130</v>
      </c>
      <c r="B1" s="11" t="s">
        <v>131</v>
      </c>
      <c r="C1" s="11" t="s">
        <v>132</v>
      </c>
      <c r="D1" s="11" t="s">
        <v>133</v>
      </c>
    </row>
    <row r="2" spans="1:4">
      <c r="A2" s="1" t="s">
        <v>134</v>
      </c>
      <c r="B2" s="1" t="s">
        <v>0</v>
      </c>
      <c r="C2" s="1" t="s">
        <v>135</v>
      </c>
      <c r="D2" s="1" t="s">
        <v>136</v>
      </c>
    </row>
    <row r="3" spans="1:4">
      <c r="A3" s="1" t="s">
        <v>134</v>
      </c>
      <c r="B3" s="1" t="s">
        <v>10</v>
      </c>
      <c r="C3" s="1" t="s">
        <v>137</v>
      </c>
      <c r="D3" s="1" t="s">
        <v>138</v>
      </c>
    </row>
    <row r="4" spans="1:4">
      <c r="A4" s="1" t="s">
        <v>134</v>
      </c>
      <c r="B4" s="1" t="s">
        <v>11</v>
      </c>
      <c r="C4" s="1" t="s">
        <v>139</v>
      </c>
      <c r="D4" s="1" t="s">
        <v>140</v>
      </c>
    </row>
    <row r="5" spans="1:4">
      <c r="A5" s="1" t="s">
        <v>134</v>
      </c>
      <c r="B5" s="1" t="s">
        <v>12</v>
      </c>
      <c r="C5" s="1" t="s">
        <v>141</v>
      </c>
      <c r="D5" s="1" t="s">
        <v>142</v>
      </c>
    </row>
    <row r="6" spans="1:4">
      <c r="A6" s="1" t="s">
        <v>134</v>
      </c>
      <c r="B6" s="1" t="s">
        <v>13</v>
      </c>
      <c r="C6" s="1" t="s">
        <v>143</v>
      </c>
      <c r="D6" s="1" t="s">
        <v>142</v>
      </c>
    </row>
    <row r="7" spans="1:4">
      <c r="A7" s="1" t="s">
        <v>134</v>
      </c>
      <c r="B7" s="1" t="s">
        <v>14</v>
      </c>
      <c r="C7" s="1" t="s">
        <v>144</v>
      </c>
      <c r="D7" s="1" t="s">
        <v>142</v>
      </c>
    </row>
    <row r="8" spans="1:4">
      <c r="A8" s="1" t="s">
        <v>134</v>
      </c>
      <c r="B8" s="1" t="s">
        <v>15</v>
      </c>
      <c r="C8" s="1" t="s">
        <v>145</v>
      </c>
      <c r="D8" s="1" t="s">
        <v>142</v>
      </c>
    </row>
    <row r="9" spans="1:4">
      <c r="A9" s="1" t="s">
        <v>134</v>
      </c>
      <c r="B9" s="1" t="s">
        <v>16</v>
      </c>
      <c r="C9" s="1" t="s">
        <v>146</v>
      </c>
      <c r="D9" s="1" t="s">
        <v>140</v>
      </c>
    </row>
    <row r="10" spans="1:4">
      <c r="A10" s="1" t="s">
        <v>134</v>
      </c>
      <c r="B10" s="1" t="s">
        <v>17</v>
      </c>
      <c r="C10" s="1" t="s">
        <v>147</v>
      </c>
      <c r="D10" s="1" t="s">
        <v>148</v>
      </c>
    </row>
    <row r="11" spans="1:4">
      <c r="A11" s="1" t="s">
        <v>134</v>
      </c>
      <c r="B11" s="1" t="s">
        <v>18</v>
      </c>
      <c r="C11" s="1" t="s">
        <v>149</v>
      </c>
      <c r="D11" s="1" t="s">
        <v>140</v>
      </c>
    </row>
    <row r="12" spans="1:4">
      <c r="A12" s="1" t="s">
        <v>134</v>
      </c>
      <c r="B12" s="1" t="s">
        <v>19</v>
      </c>
      <c r="C12" s="1" t="s">
        <v>150</v>
      </c>
      <c r="D12" s="1" t="s">
        <v>142</v>
      </c>
    </row>
    <row r="13" spans="1:4">
      <c r="A13" s="1" t="s">
        <v>134</v>
      </c>
      <c r="B13" s="1" t="s">
        <v>20</v>
      </c>
      <c r="C13" s="1" t="s">
        <v>151</v>
      </c>
      <c r="D13" s="1" t="s">
        <v>142</v>
      </c>
    </row>
    <row r="14" spans="1:4">
      <c r="A14" s="1" t="s">
        <v>134</v>
      </c>
      <c r="B14" s="1" t="s">
        <v>21</v>
      </c>
      <c r="C14" s="1" t="s">
        <v>152</v>
      </c>
      <c r="D14" s="1" t="s">
        <v>142</v>
      </c>
    </row>
    <row r="15" spans="1:4">
      <c r="A15" s="1" t="s">
        <v>153</v>
      </c>
      <c r="B15" s="1" t="s">
        <v>24</v>
      </c>
      <c r="C15" s="1" t="s">
        <v>154</v>
      </c>
      <c r="D15" s="1" t="s">
        <v>155</v>
      </c>
    </row>
    <row r="16" spans="1:4">
      <c r="A16" s="1" t="s">
        <v>153</v>
      </c>
      <c r="B16" s="1" t="s">
        <v>25</v>
      </c>
      <c r="C16" s="1" t="s">
        <v>156</v>
      </c>
      <c r="D16" s="1" t="s">
        <v>157</v>
      </c>
    </row>
    <row r="17" spans="1:4">
      <c r="A17" s="1" t="s">
        <v>153</v>
      </c>
      <c r="B17" s="1" t="s">
        <v>26</v>
      </c>
      <c r="C17" s="1" t="s">
        <v>158</v>
      </c>
      <c r="D17" s="1" t="s">
        <v>136</v>
      </c>
    </row>
    <row r="18" spans="1:4">
      <c r="A18" s="1" t="s">
        <v>153</v>
      </c>
      <c r="B18" s="1" t="s">
        <v>27</v>
      </c>
      <c r="C18" s="1" t="s">
        <v>159</v>
      </c>
      <c r="D18" s="1" t="s">
        <v>138</v>
      </c>
    </row>
    <row r="19" spans="1:4">
      <c r="A19" s="1" t="s">
        <v>160</v>
      </c>
      <c r="B19" s="1" t="s">
        <v>161</v>
      </c>
      <c r="C19" s="1" t="s">
        <v>162</v>
      </c>
      <c r="D19" s="1" t="s">
        <v>140</v>
      </c>
    </row>
    <row r="20" spans="1:4">
      <c r="A20" s="1" t="s">
        <v>160</v>
      </c>
      <c r="B20" s="1" t="s">
        <v>31</v>
      </c>
      <c r="C20" s="1" t="s">
        <v>163</v>
      </c>
      <c r="D20" s="1" t="s">
        <v>140</v>
      </c>
    </row>
    <row r="21" spans="1:4">
      <c r="A21" s="1" t="s">
        <v>160</v>
      </c>
      <c r="B21" s="1" t="s">
        <v>32</v>
      </c>
      <c r="C21" s="1" t="s">
        <v>164</v>
      </c>
      <c r="D21" s="1" t="s">
        <v>140</v>
      </c>
    </row>
    <row r="22" spans="1:4">
      <c r="A22" s="1" t="s">
        <v>160</v>
      </c>
      <c r="B22" s="1" t="s">
        <v>165</v>
      </c>
      <c r="C22" s="1" t="s">
        <v>166</v>
      </c>
      <c r="D22" s="1" t="s">
        <v>140</v>
      </c>
    </row>
    <row r="23" spans="1:4">
      <c r="A23" s="1" t="s">
        <v>167</v>
      </c>
      <c r="B23" s="1" t="s">
        <v>33</v>
      </c>
      <c r="C23" s="1" t="s">
        <v>168</v>
      </c>
      <c r="D23" s="1" t="s">
        <v>169</v>
      </c>
    </row>
    <row r="24" spans="1:4">
      <c r="A24" s="1" t="s">
        <v>167</v>
      </c>
      <c r="B24" s="1" t="s">
        <v>35</v>
      </c>
      <c r="C24" s="1" t="s">
        <v>170</v>
      </c>
      <c r="D24" s="1" t="s">
        <v>140</v>
      </c>
    </row>
    <row r="25" spans="1:4">
      <c r="A25" s="1" t="s">
        <v>167</v>
      </c>
      <c r="B25" s="1" t="s">
        <v>36</v>
      </c>
      <c r="C25" s="1" t="s">
        <v>171</v>
      </c>
      <c r="D25" s="1" t="s">
        <v>138</v>
      </c>
    </row>
    <row r="26" spans="1:4">
      <c r="A26" s="1" t="s">
        <v>167</v>
      </c>
      <c r="B26" s="1" t="s">
        <v>37</v>
      </c>
      <c r="C26" s="1" t="s">
        <v>172</v>
      </c>
      <c r="D26" s="1" t="s">
        <v>140</v>
      </c>
    </row>
    <row r="27" spans="1:4">
      <c r="A27" s="1" t="s">
        <v>173</v>
      </c>
      <c r="B27" s="1" t="s">
        <v>38</v>
      </c>
      <c r="C27" s="1" t="s">
        <v>174</v>
      </c>
      <c r="D27" s="1" t="s">
        <v>175</v>
      </c>
    </row>
    <row r="28" spans="1:4">
      <c r="A28" s="1" t="s">
        <v>173</v>
      </c>
      <c r="B28" s="1" t="s">
        <v>39</v>
      </c>
      <c r="C28" s="1" t="s">
        <v>176</v>
      </c>
      <c r="D28" s="1" t="s">
        <v>148</v>
      </c>
    </row>
    <row r="29" spans="1:4">
      <c r="A29" s="1" t="s">
        <v>173</v>
      </c>
      <c r="B29" s="1" t="s">
        <v>40</v>
      </c>
      <c r="C29" s="1" t="s">
        <v>177</v>
      </c>
      <c r="D29" s="1" t="s">
        <v>178</v>
      </c>
    </row>
    <row r="30" spans="1:4">
      <c r="A30" s="1" t="s">
        <v>173</v>
      </c>
      <c r="B30" s="1" t="s">
        <v>41</v>
      </c>
      <c r="C30" s="1" t="s">
        <v>179</v>
      </c>
      <c r="D30" s="1" t="s">
        <v>138</v>
      </c>
    </row>
    <row r="31" spans="1:4">
      <c r="A31" s="1" t="s">
        <v>173</v>
      </c>
      <c r="B31" s="1" t="s">
        <v>180</v>
      </c>
      <c r="C31" s="1" t="s">
        <v>181</v>
      </c>
      <c r="D31" s="1" t="s">
        <v>142</v>
      </c>
    </row>
    <row r="32" spans="1:4">
      <c r="A32" s="1" t="s">
        <v>173</v>
      </c>
      <c r="B32" s="1" t="s">
        <v>182</v>
      </c>
      <c r="C32" s="1" t="s">
        <v>183</v>
      </c>
      <c r="D32" s="1" t="s">
        <v>184</v>
      </c>
    </row>
    <row r="33" spans="1:4">
      <c r="A33" s="1" t="s">
        <v>173</v>
      </c>
      <c r="B33" s="1" t="s">
        <v>44</v>
      </c>
      <c r="C33" s="1" t="s">
        <v>185</v>
      </c>
      <c r="D33" s="1" t="s">
        <v>186</v>
      </c>
    </row>
    <row r="34" spans="1:4">
      <c r="A34" s="1" t="s">
        <v>187</v>
      </c>
      <c r="B34" s="1" t="s">
        <v>47</v>
      </c>
      <c r="C34" s="1" t="s">
        <v>188</v>
      </c>
      <c r="D34" s="1" t="s">
        <v>142</v>
      </c>
    </row>
    <row r="35" spans="1:4">
      <c r="A35" s="1" t="s">
        <v>187</v>
      </c>
      <c r="B35" s="1" t="s">
        <v>189</v>
      </c>
      <c r="C35" s="1" t="s">
        <v>190</v>
      </c>
      <c r="D35" s="1" t="s">
        <v>142</v>
      </c>
    </row>
    <row r="36" spans="1:4">
      <c r="A36" s="1" t="s">
        <v>187</v>
      </c>
      <c r="B36" s="1" t="s">
        <v>49</v>
      </c>
      <c r="C36" s="1" t="s">
        <v>191</v>
      </c>
      <c r="D36" s="1" t="s">
        <v>142</v>
      </c>
    </row>
    <row r="37" spans="1:4">
      <c r="A37" s="1" t="s">
        <v>187</v>
      </c>
      <c r="B37" s="1" t="s">
        <v>50</v>
      </c>
      <c r="C37" s="1" t="s">
        <v>192</v>
      </c>
      <c r="D37" s="1" t="s">
        <v>142</v>
      </c>
    </row>
    <row r="38" spans="1:4">
      <c r="A38" s="1" t="s">
        <v>193</v>
      </c>
      <c r="B38" s="1" t="s">
        <v>64</v>
      </c>
      <c r="C38" s="1" t="s">
        <v>194</v>
      </c>
      <c r="D38" s="1" t="s">
        <v>195</v>
      </c>
    </row>
    <row r="39" spans="1:4">
      <c r="A39" s="1" t="s">
        <v>193</v>
      </c>
      <c r="B39" s="1" t="s">
        <v>196</v>
      </c>
      <c r="C39" s="1" t="s">
        <v>197</v>
      </c>
      <c r="D39" s="1" t="s">
        <v>198</v>
      </c>
    </row>
    <row r="40" spans="1:4">
      <c r="A40" s="1" t="s">
        <v>193</v>
      </c>
      <c r="B40" s="1" t="s">
        <v>199</v>
      </c>
      <c r="C40" s="1" t="s">
        <v>200</v>
      </c>
      <c r="D40" s="1" t="s">
        <v>198</v>
      </c>
    </row>
    <row r="41" spans="1:4">
      <c r="A41" s="1" t="s">
        <v>193</v>
      </c>
      <c r="B41" s="1" t="s">
        <v>201</v>
      </c>
      <c r="C41" s="1" t="s">
        <v>202</v>
      </c>
      <c r="D41" s="1" t="s">
        <v>203</v>
      </c>
    </row>
    <row r="42" spans="1:4">
      <c r="A42" s="1" t="s">
        <v>193</v>
      </c>
      <c r="B42" s="1" t="s">
        <v>204</v>
      </c>
      <c r="C42" s="1" t="s">
        <v>205</v>
      </c>
      <c r="D42" s="1" t="s">
        <v>206</v>
      </c>
    </row>
    <row r="43" spans="1:4">
      <c r="A43" s="1" t="s">
        <v>193</v>
      </c>
      <c r="B43" s="1" t="s">
        <v>207</v>
      </c>
      <c r="C43" s="1" t="s">
        <v>208</v>
      </c>
      <c r="D43" s="1" t="s">
        <v>209</v>
      </c>
    </row>
    <row r="44" spans="1:4">
      <c r="A44" s="1" t="s">
        <v>193</v>
      </c>
      <c r="B44" s="1" t="s">
        <v>210</v>
      </c>
      <c r="C44" s="1" t="s">
        <v>211</v>
      </c>
      <c r="D44" s="1" t="s">
        <v>212</v>
      </c>
    </row>
    <row r="45" spans="1:4">
      <c r="A45" s="1" t="s">
        <v>193</v>
      </c>
      <c r="B45" s="1" t="s">
        <v>213</v>
      </c>
      <c r="C45" s="1" t="s">
        <v>214</v>
      </c>
      <c r="D45" s="1" t="s">
        <v>198</v>
      </c>
    </row>
    <row r="46" spans="1:4">
      <c r="A46" s="1" t="s">
        <v>215</v>
      </c>
      <c r="B46" s="1" t="s">
        <v>216</v>
      </c>
      <c r="C46" s="1" t="s">
        <v>217</v>
      </c>
      <c r="D46" s="1" t="s">
        <v>198</v>
      </c>
    </row>
    <row r="47" spans="1:4">
      <c r="A47" s="1" t="s">
        <v>215</v>
      </c>
      <c r="B47" s="1" t="s">
        <v>218</v>
      </c>
      <c r="C47" s="1" t="s">
        <v>219</v>
      </c>
      <c r="D47" s="1" t="s">
        <v>198</v>
      </c>
    </row>
    <row r="48" spans="1:4">
      <c r="A48" s="1" t="s">
        <v>215</v>
      </c>
      <c r="B48" s="1" t="s">
        <v>220</v>
      </c>
      <c r="C48" s="1" t="s">
        <v>221</v>
      </c>
      <c r="D48" s="1">
        <v>5</v>
      </c>
    </row>
    <row r="49" spans="1:4">
      <c r="A49" s="1" t="s">
        <v>215</v>
      </c>
      <c r="B49" s="1" t="s">
        <v>222</v>
      </c>
      <c r="C49" s="1" t="s">
        <v>223</v>
      </c>
      <c r="D49" s="1">
        <v>30</v>
      </c>
    </row>
    <row r="50" spans="1:4">
      <c r="A50" s="1" t="s">
        <v>215</v>
      </c>
      <c r="B50" s="1" t="s">
        <v>224</v>
      </c>
      <c r="C50" s="1" t="s">
        <v>225</v>
      </c>
      <c r="D50" s="1">
        <v>30</v>
      </c>
    </row>
    <row r="51" spans="1:4">
      <c r="A51" s="1" t="s">
        <v>215</v>
      </c>
      <c r="B51" s="1" t="s">
        <v>226</v>
      </c>
      <c r="C51" s="1" t="s">
        <v>227</v>
      </c>
      <c r="D51" s="1">
        <v>3</v>
      </c>
    </row>
    <row r="52" spans="1:4">
      <c r="A52" s="1" t="s">
        <v>215</v>
      </c>
      <c r="B52" s="1" t="s">
        <v>228</v>
      </c>
      <c r="C52" s="1" t="s">
        <v>229</v>
      </c>
      <c r="D52" s="1">
        <v>3</v>
      </c>
    </row>
    <row r="53" spans="1:4">
      <c r="A53" s="1" t="s">
        <v>215</v>
      </c>
      <c r="B53" s="1" t="s">
        <v>230</v>
      </c>
      <c r="C53" s="1" t="s">
        <v>231</v>
      </c>
      <c r="D53" s="1">
        <v>4</v>
      </c>
    </row>
    <row r="54" spans="1:4">
      <c r="A54" s="1" t="s">
        <v>215</v>
      </c>
      <c r="B54" s="1" t="s">
        <v>232</v>
      </c>
      <c r="C54" s="1" t="s">
        <v>233</v>
      </c>
      <c r="D54" s="1">
        <v>1</v>
      </c>
    </row>
    <row r="55" spans="1:4">
      <c r="A55" s="1" t="s">
        <v>234</v>
      </c>
      <c r="B55" s="1" t="s">
        <v>76</v>
      </c>
      <c r="C55" s="1" t="s">
        <v>235</v>
      </c>
      <c r="D55" s="1">
        <v>26</v>
      </c>
    </row>
    <row r="56" spans="1:4">
      <c r="A56" s="1" t="s">
        <v>234</v>
      </c>
      <c r="B56" s="1" t="s">
        <v>77</v>
      </c>
      <c r="C56" s="1" t="s">
        <v>236</v>
      </c>
      <c r="D56" s="1">
        <v>20</v>
      </c>
    </row>
    <row r="57" spans="1:4">
      <c r="A57" s="1" t="s">
        <v>234</v>
      </c>
      <c r="B57" s="1" t="s">
        <v>78</v>
      </c>
      <c r="C57" s="1" t="s">
        <v>237</v>
      </c>
      <c r="D57" s="1">
        <v>26</v>
      </c>
    </row>
    <row r="58" spans="1:4">
      <c r="A58" s="1" t="s">
        <v>234</v>
      </c>
      <c r="B58" s="1" t="s">
        <v>79</v>
      </c>
      <c r="C58" s="1" t="s">
        <v>238</v>
      </c>
      <c r="D58" s="1">
        <v>3</v>
      </c>
    </row>
    <row r="59" spans="1:4">
      <c r="A59" s="1" t="s">
        <v>234</v>
      </c>
      <c r="B59" s="1" t="s">
        <v>80</v>
      </c>
      <c r="C59" s="1" t="s">
        <v>239</v>
      </c>
      <c r="D59" s="1">
        <v>13</v>
      </c>
    </row>
    <row r="60" spans="1:4">
      <c r="A60" s="1" t="s">
        <v>234</v>
      </c>
      <c r="B60" s="1" t="s">
        <v>81</v>
      </c>
      <c r="C60" s="1" t="s">
        <v>240</v>
      </c>
      <c r="D60" s="1">
        <v>19</v>
      </c>
    </row>
    <row r="61" spans="1:4">
      <c r="A61" s="1" t="s">
        <v>234</v>
      </c>
      <c r="B61" s="1" t="s">
        <v>82</v>
      </c>
      <c r="C61" s="1" t="s">
        <v>241</v>
      </c>
      <c r="D61" s="1">
        <v>7</v>
      </c>
    </row>
    <row r="62" spans="1:4">
      <c r="A62" s="1" t="s">
        <v>234</v>
      </c>
      <c r="B62" s="1" t="s">
        <v>83</v>
      </c>
      <c r="C62" s="1" t="s">
        <v>242</v>
      </c>
      <c r="D62" s="1">
        <v>11</v>
      </c>
    </row>
    <row r="63" spans="1:4">
      <c r="A63" s="1" t="s">
        <v>234</v>
      </c>
      <c r="B63" s="1" t="s">
        <v>84</v>
      </c>
      <c r="C63" s="1" t="s">
        <v>243</v>
      </c>
      <c r="D63" s="1">
        <v>17</v>
      </c>
    </row>
    <row r="64" spans="1:4">
      <c r="A64" s="1" t="s">
        <v>234</v>
      </c>
      <c r="B64" s="1" t="s">
        <v>85</v>
      </c>
      <c r="C64" s="1" t="s">
        <v>244</v>
      </c>
      <c r="D64" s="1">
        <v>5</v>
      </c>
    </row>
    <row r="65" spans="1:4">
      <c r="A65" s="1" t="s">
        <v>234</v>
      </c>
      <c r="B65" s="1" t="s">
        <v>86</v>
      </c>
      <c r="C65" s="1" t="s">
        <v>245</v>
      </c>
      <c r="D65" s="1">
        <v>6</v>
      </c>
    </row>
    <row r="66" spans="1:4">
      <c r="A66" s="1" t="s">
        <v>234</v>
      </c>
      <c r="B66" s="1" t="s">
        <v>87</v>
      </c>
      <c r="C66" s="1" t="s">
        <v>246</v>
      </c>
      <c r="D66" s="1">
        <v>6</v>
      </c>
    </row>
    <row r="67" spans="1:4">
      <c r="A67" s="1" t="s">
        <v>234</v>
      </c>
      <c r="B67" s="1" t="s">
        <v>88</v>
      </c>
      <c r="C67" s="1" t="s">
        <v>247</v>
      </c>
      <c r="D67" s="1">
        <v>10</v>
      </c>
    </row>
    <row r="68" spans="1:4">
      <c r="A68" s="1" t="s">
        <v>234</v>
      </c>
      <c r="B68" s="1" t="s">
        <v>89</v>
      </c>
      <c r="C68" s="1" t="s">
        <v>248</v>
      </c>
      <c r="D68" s="1">
        <v>3</v>
      </c>
    </row>
    <row r="69" spans="1:4">
      <c r="A69" s="1" t="s">
        <v>234</v>
      </c>
      <c r="B69" s="1" t="s">
        <v>90</v>
      </c>
      <c r="C69" s="1" t="s">
        <v>249</v>
      </c>
      <c r="D69" s="1">
        <v>4</v>
      </c>
    </row>
    <row r="70" spans="1:4">
      <c r="A70" s="1" t="s">
        <v>234</v>
      </c>
      <c r="B70" s="1" t="s">
        <v>91</v>
      </c>
      <c r="C70" s="1" t="s">
        <v>250</v>
      </c>
      <c r="D70" s="1">
        <v>5</v>
      </c>
    </row>
    <row r="71" spans="1:4">
      <c r="A71" s="1" t="s">
        <v>234</v>
      </c>
      <c r="B71" s="1" t="s">
        <v>92</v>
      </c>
      <c r="C71" s="1" t="s">
        <v>251</v>
      </c>
      <c r="D71" s="1">
        <v>2</v>
      </c>
    </row>
    <row r="72" spans="1:4">
      <c r="A72" s="1" t="s">
        <v>234</v>
      </c>
      <c r="B72" s="1" t="s">
        <v>93</v>
      </c>
      <c r="C72" s="1" t="s">
        <v>252</v>
      </c>
      <c r="D72" s="1">
        <v>4</v>
      </c>
    </row>
    <row r="73" spans="1:4">
      <c r="A73" s="1" t="s">
        <v>234</v>
      </c>
      <c r="B73" s="1" t="s">
        <v>94</v>
      </c>
      <c r="C73" s="1" t="s">
        <v>253</v>
      </c>
      <c r="D73" s="1">
        <v>6</v>
      </c>
    </row>
    <row r="74" spans="1:4">
      <c r="A74" s="1" t="s">
        <v>234</v>
      </c>
      <c r="B74" s="1" t="s">
        <v>95</v>
      </c>
      <c r="C74" s="1" t="s">
        <v>254</v>
      </c>
      <c r="D74" s="1">
        <v>7</v>
      </c>
    </row>
    <row r="75" spans="1:4">
      <c r="A75" s="1" t="s">
        <v>234</v>
      </c>
      <c r="B75" s="1" t="s">
        <v>96</v>
      </c>
      <c r="C75" s="1" t="s">
        <v>255</v>
      </c>
      <c r="D75" s="1">
        <v>4</v>
      </c>
    </row>
    <row r="76" spans="1:4">
      <c r="A76" s="1" t="s">
        <v>234</v>
      </c>
      <c r="B76" s="1" t="s">
        <v>97</v>
      </c>
      <c r="C76" s="1" t="s">
        <v>256</v>
      </c>
      <c r="D76" s="1">
        <v>1</v>
      </c>
    </row>
    <row r="77" spans="1:4">
      <c r="A77" s="1" t="s">
        <v>234</v>
      </c>
      <c r="B77" s="1" t="s">
        <v>98</v>
      </c>
      <c r="C77" s="1" t="s">
        <v>257</v>
      </c>
      <c r="D77" s="1">
        <v>5</v>
      </c>
    </row>
    <row r="78" spans="1:4">
      <c r="A78" s="1" t="s">
        <v>234</v>
      </c>
      <c r="B78" s="1" t="s">
        <v>99</v>
      </c>
      <c r="C78" s="1" t="s">
        <v>258</v>
      </c>
      <c r="D78" s="1">
        <v>6</v>
      </c>
    </row>
    <row r="79" spans="1:4">
      <c r="A79" s="1" t="s">
        <v>234</v>
      </c>
      <c r="B79" s="1" t="s">
        <v>100</v>
      </c>
      <c r="C79" s="1" t="s">
        <v>259</v>
      </c>
      <c r="D79" s="1">
        <v>2</v>
      </c>
    </row>
    <row r="80" spans="1:4">
      <c r="A80" s="1" t="s">
        <v>234</v>
      </c>
      <c r="B80" s="1" t="s">
        <v>101</v>
      </c>
      <c r="C80" s="1" t="s">
        <v>260</v>
      </c>
      <c r="D80" s="1">
        <v>7</v>
      </c>
    </row>
    <row r="81" spans="1:4">
      <c r="A81" s="1" t="s">
        <v>234</v>
      </c>
      <c r="B81" s="1" t="s">
        <v>261</v>
      </c>
      <c r="C81" s="1" t="s">
        <v>262</v>
      </c>
      <c r="D81" s="1">
        <v>8</v>
      </c>
    </row>
    <row r="82" spans="1:4">
      <c r="A82" s="1" t="s">
        <v>234</v>
      </c>
      <c r="B82" s="1" t="s">
        <v>263</v>
      </c>
      <c r="C82" s="1" t="s">
        <v>264</v>
      </c>
      <c r="D82" s="1">
        <v>1</v>
      </c>
    </row>
    <row r="83" spans="1:4">
      <c r="A83" s="1" t="s">
        <v>234</v>
      </c>
      <c r="B83" s="1" t="s">
        <v>265</v>
      </c>
      <c r="C83" s="1" t="s">
        <v>266</v>
      </c>
      <c r="D83" s="1">
        <v>5</v>
      </c>
    </row>
    <row r="84" spans="1:4">
      <c r="A84" s="1" t="s">
        <v>234</v>
      </c>
      <c r="B84" s="1" t="s">
        <v>267</v>
      </c>
      <c r="C84" s="1" t="s">
        <v>268</v>
      </c>
      <c r="D84" s="1">
        <v>3</v>
      </c>
    </row>
    <row r="85" spans="1:4">
      <c r="A85" s="1" t="s">
        <v>269</v>
      </c>
      <c r="B85" s="1" t="s">
        <v>103</v>
      </c>
      <c r="C85" s="1" t="s">
        <v>270</v>
      </c>
      <c r="D85" s="1">
        <v>6</v>
      </c>
    </row>
    <row r="86" spans="1:4">
      <c r="A86" s="1" t="s">
        <v>269</v>
      </c>
      <c r="B86" s="1" t="s">
        <v>104</v>
      </c>
      <c r="C86" s="1" t="s">
        <v>271</v>
      </c>
      <c r="D86" s="1">
        <v>3</v>
      </c>
    </row>
    <row r="87" spans="1:4">
      <c r="A87" s="1" t="s">
        <v>269</v>
      </c>
      <c r="B87" s="1" t="s">
        <v>105</v>
      </c>
      <c r="C87" s="1" t="s">
        <v>272</v>
      </c>
      <c r="D87" s="1">
        <v>3</v>
      </c>
    </row>
    <row r="88" spans="1:4">
      <c r="A88" s="1" t="s">
        <v>269</v>
      </c>
      <c r="B88" s="1" t="s">
        <v>106</v>
      </c>
      <c r="C88" s="1" t="s">
        <v>273</v>
      </c>
      <c r="D88" s="1">
        <v>6</v>
      </c>
    </row>
    <row r="89" spans="1:4">
      <c r="A89" s="1" t="s">
        <v>269</v>
      </c>
      <c r="B89" s="1" t="s">
        <v>107</v>
      </c>
      <c r="C89" s="1" t="s">
        <v>274</v>
      </c>
      <c r="D89" s="1">
        <v>1</v>
      </c>
    </row>
    <row r="90" spans="1:4">
      <c r="A90" s="1" t="s">
        <v>275</v>
      </c>
      <c r="B90" s="1" t="s">
        <v>109</v>
      </c>
      <c r="C90" s="1" t="s">
        <v>276</v>
      </c>
      <c r="D90" s="1">
        <v>4</v>
      </c>
    </row>
    <row r="91" spans="1:4">
      <c r="A91" s="1" t="s">
        <v>275</v>
      </c>
      <c r="B91" s="1" t="s">
        <v>110</v>
      </c>
      <c r="C91" s="1" t="s">
        <v>277</v>
      </c>
      <c r="D91" s="1">
        <v>2</v>
      </c>
    </row>
    <row r="92" spans="1:4">
      <c r="A92" s="1" t="s">
        <v>275</v>
      </c>
      <c r="B92" s="1" t="s">
        <v>111</v>
      </c>
      <c r="C92" s="1" t="s">
        <v>278</v>
      </c>
      <c r="D92" s="1">
        <v>2</v>
      </c>
    </row>
    <row r="93" spans="1:4">
      <c r="A93" s="1" t="s">
        <v>275</v>
      </c>
      <c r="B93" s="1" t="s">
        <v>112</v>
      </c>
      <c r="C93" s="1" t="s">
        <v>279</v>
      </c>
      <c r="D93" s="1">
        <v>1</v>
      </c>
    </row>
    <row r="94" spans="1:4">
      <c r="A94" s="1" t="s">
        <v>275</v>
      </c>
      <c r="B94" s="1" t="s">
        <v>113</v>
      </c>
      <c r="C94" s="1" t="s">
        <v>280</v>
      </c>
      <c r="D94" s="1">
        <v>1</v>
      </c>
    </row>
    <row r="95" spans="1:4">
      <c r="A95" s="1" t="s">
        <v>275</v>
      </c>
      <c r="B95" s="1" t="s">
        <v>114</v>
      </c>
      <c r="C95" s="1" t="s">
        <v>281</v>
      </c>
      <c r="D95" s="1">
        <v>1</v>
      </c>
    </row>
    <row r="96" spans="1:4">
      <c r="A96" s="1" t="s">
        <v>275</v>
      </c>
      <c r="B96" s="1" t="s">
        <v>115</v>
      </c>
      <c r="C96" s="1" t="s">
        <v>282</v>
      </c>
      <c r="D96" s="1">
        <v>1</v>
      </c>
    </row>
    <row r="97" spans="1:4">
      <c r="A97" s="1" t="s">
        <v>275</v>
      </c>
      <c r="B97" s="1" t="s">
        <v>116</v>
      </c>
      <c r="C97" s="1" t="s">
        <v>283</v>
      </c>
      <c r="D97" s="1">
        <v>7</v>
      </c>
    </row>
    <row r="98" spans="1:4">
      <c r="A98" s="1" t="s">
        <v>275</v>
      </c>
      <c r="B98" s="1" t="s">
        <v>117</v>
      </c>
      <c r="C98" s="1" t="s">
        <v>284</v>
      </c>
      <c r="D98" s="1">
        <v>7</v>
      </c>
    </row>
    <row r="99" spans="1:4">
      <c r="A99" s="1" t="s">
        <v>275</v>
      </c>
      <c r="B99" s="1" t="s">
        <v>118</v>
      </c>
      <c r="C99" s="1" t="s">
        <v>285</v>
      </c>
      <c r="D99" s="1">
        <v>1</v>
      </c>
    </row>
    <row r="100" spans="1:4">
      <c r="A100" s="1" t="s">
        <v>286</v>
      </c>
      <c r="B100" s="1" t="s">
        <v>121</v>
      </c>
      <c r="C100" s="1" t="s">
        <v>287</v>
      </c>
      <c r="D100" s="1">
        <v>7</v>
      </c>
    </row>
    <row r="101" spans="1:4">
      <c r="A101" s="1" t="s">
        <v>286</v>
      </c>
      <c r="B101" s="1" t="s">
        <v>111</v>
      </c>
      <c r="C101" s="1" t="s">
        <v>288</v>
      </c>
      <c r="D101" s="1">
        <v>4</v>
      </c>
    </row>
    <row r="102" spans="1:4">
      <c r="A102" s="1" t="s">
        <v>286</v>
      </c>
      <c r="B102" s="1" t="s">
        <v>122</v>
      </c>
      <c r="C102" s="1" t="s">
        <v>289</v>
      </c>
      <c r="D102" s="1">
        <v>2</v>
      </c>
    </row>
    <row r="103" spans="1:4">
      <c r="A103" s="1" t="s">
        <v>286</v>
      </c>
      <c r="B103" s="1" t="s">
        <v>290</v>
      </c>
      <c r="C103" s="1" t="s">
        <v>291</v>
      </c>
      <c r="D103" s="1">
        <v>1</v>
      </c>
    </row>
    <row r="104" spans="1:4">
      <c r="A104" s="1" t="s">
        <v>286</v>
      </c>
      <c r="B104" s="1" t="s">
        <v>124</v>
      </c>
      <c r="C104" s="1" t="s">
        <v>292</v>
      </c>
      <c r="D104" s="1">
        <v>1</v>
      </c>
    </row>
    <row r="105" spans="1:4">
      <c r="A105" s="1" t="s">
        <v>286</v>
      </c>
      <c r="B105" s="1" t="s">
        <v>125</v>
      </c>
      <c r="C105" s="1" t="s">
        <v>293</v>
      </c>
      <c r="D105" s="1">
        <v>2</v>
      </c>
    </row>
    <row r="106" spans="1:4">
      <c r="A106" s="1" t="s">
        <v>286</v>
      </c>
      <c r="B106" s="1" t="s">
        <v>112</v>
      </c>
      <c r="C106" s="1" t="s">
        <v>294</v>
      </c>
      <c r="D106" s="1">
        <v>2</v>
      </c>
    </row>
    <row r="107" spans="1:4">
      <c r="A107" s="1" t="s">
        <v>286</v>
      </c>
      <c r="B107" s="1" t="s">
        <v>126</v>
      </c>
      <c r="C107" s="1" t="s">
        <v>295</v>
      </c>
      <c r="D107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14</vt:i4>
      </vt:variant>
    </vt:vector>
  </HeadingPairs>
  <TitlesOfParts>
    <vt:vector size="14" baseType="lpstr">
      <vt:lpstr>Meşrubatlar</vt:lpstr>
      <vt:lpstr>Sütler</vt:lpstr>
      <vt:lpstr>Bardaklar</vt:lpstr>
      <vt:lpstr>Kapaklar</vt:lpstr>
      <vt:lpstr>Servis</vt:lpstr>
      <vt:lpstr>Sandviç</vt:lpstr>
      <vt:lpstr>Tatlılar</vt:lpstr>
      <vt:lpstr>Kasa Önü</vt:lpstr>
      <vt:lpstr>Şuruplar</vt:lpstr>
      <vt:lpstr>Soslar</vt:lpstr>
      <vt:lpstr>Toz Ürünler</vt:lpstr>
      <vt:lpstr>Püreler</vt:lpstr>
      <vt:lpstr>Temizlik Ürünleri</vt:lpstr>
      <vt:lpstr>Ürün Kodları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ÜZEYİR SOĞUKÇEŞME</cp:lastModifiedBy>
  <cp:revision/>
  <dcterms:created xsi:type="dcterms:W3CDTF">2026-09-03T15:50:52Z</dcterms:created>
  <dcterms:modified xsi:type="dcterms:W3CDTF">2026-09-04T15:19:02Z</dcterms:modified>
  <cp:category/>
  <cp:contentStatus/>
</cp:coreProperties>
</file>